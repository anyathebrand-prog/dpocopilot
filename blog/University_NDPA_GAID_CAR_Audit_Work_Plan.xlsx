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Calc"/>
  <workbookPr defaultThemeVersion="153222"/>
  <bookViews>
    <workbookView xWindow="0" yWindow="0" windowWidth="16384" windowHeight="8192" activeTab="41" tabRatio="500"/>
  </bookViews>
  <sheets>
    <sheet name="Instructions" sheetId="1" r:id="rId1"/>
    <sheet name="Dashboard" sheetId="2" r:id="rId2"/>
    <sheet name="CAR Framework" sheetId="3" r:id="rId3"/>
    <sheet name="Timeline" sheetId="4" r:id="rId4"/>
    <sheet name="CEN-DPO Office" sheetId="5" r:id="rId5"/>
    <sheet name="DIR-ICT" sheetId="6" r:id="rId6"/>
    <sheet name="DIR-Academic Planning" sheetId="7" r:id="rId7"/>
    <sheet name="DIR-Quality Assurance" sheetId="8" r:id="rId8"/>
    <sheet name="DIR-Physical Planning" sheetId="9" r:id="rId9"/>
    <sheet name="DIR-Health Services" sheetId="10" r:id="rId10"/>
    <sheet name="DIR-Security Services" sheetId="11" r:id="rId11"/>
    <sheet name="DIR-Research &amp; Dev" sheetId="12" r:id="rId12"/>
    <sheet name="DIR-Linkages" sheetId="13" r:id="rId13"/>
    <sheet name="DIR-Student Affairs" sheetId="14" r:id="rId14"/>
    <sheet name="DIR-Advancement" sheetId="15" r:id="rId15"/>
    <sheet name="DEPT-HR Establishments" sheetId="16" r:id="rId16"/>
    <sheet name="DEPT-Admissions" sheetId="17" r:id="rId17"/>
    <sheet name="DEPT-Exams &amp; Records" sheetId="18" r:id="rId18"/>
    <sheet name="DEPT-Council &amp; Senate" sheetId="19" r:id="rId19"/>
    <sheet name="DEPT-Bursary" sheetId="20" r:id="rId20"/>
    <sheet name="DEPT-Library" sheetId="21" r:id="rId21"/>
    <sheet name="DEPT-Legal Unit" sheetId="22" r:id="rId22"/>
    <sheet name="DEPT-Info &amp; PR" sheetId="23" r:id="rId23"/>
    <sheet name="DEPT-Procurement" sheetId="24" r:id="rId24"/>
    <sheet name="FAC-Arts" sheetId="25" r:id="rId25"/>
    <sheet name="FAC-Education" sheetId="26" r:id="rId26"/>
    <sheet name="FAC-Engineering" sheetId="27" r:id="rId27"/>
    <sheet name="FAC-Law" sheetId="28" r:id="rId28"/>
    <sheet name="FAC-Management Sciences" sheetId="29" r:id="rId29"/>
    <sheet name="FAC-Science" sheetId="30" r:id="rId30"/>
    <sheet name="FAC-Social Sciences" sheetId="31" r:id="rId31"/>
    <sheet name="FAC-Agriculture" sheetId="32" r:id="rId32"/>
    <sheet name="FAC-Environmental Sci" sheetId="33" r:id="rId33"/>
    <sheet name="FAC-Pharmaceutical Sci" sheetId="34" r:id="rId34"/>
    <sheet name="FAC-Basic Medical Sci" sheetId="35" r:id="rId35"/>
    <sheet name="FAC-Clinical Sci" sheetId="36" r:id="rId36"/>
    <sheet name="FAC-Computing" sheetId="37" r:id="rId37"/>
    <sheet name="SCH-Postgraduate" sheetId="38" r:id="rId38"/>
    <sheet name="SCH-General Studies" sheetId="39" r:id="rId39"/>
    <sheet name="SCH-Distance Learning" sheetId="40" r:id="rId40"/>
    <sheet name="SCH-Basic Studies" sheetId="41" r:id="rId41"/>
    <sheet name="SCH-Staff School" sheetId="42" r:id="rId42"/>
  </sheets>
  <definedNames>
    <definedName name="_xlnm.Print_Titles" localSheetId="4">'CEN-DPO Office'!$14:$14</definedName>
    <definedName name="_xlnm._FilterDatabase" localSheetId="4" hidden="1">'CEN-DPO Office'!$A$14:$Q$53</definedName>
    <definedName name="_xlnm.Print_Titles" localSheetId="16">'DEPT-Admissions'!$14:$14</definedName>
    <definedName name="_xlnm._FilterDatabase" localSheetId="16" hidden="1">'DEPT-Admissions'!$A$14:$Q$40</definedName>
    <definedName name="_xlnm.Print_Titles" localSheetId="19">'DEPT-Bursary'!$14:$14</definedName>
    <definedName name="_xlnm._FilterDatabase" localSheetId="19" hidden="1">'DEPT-Bursary'!$A$14:$Q$38</definedName>
    <definedName name="_xlnm.Print_Titles" localSheetId="18">'DEPT-Council &amp; Senate'!$14:$14</definedName>
    <definedName name="_xlnm._FilterDatabase" localSheetId="18" hidden="1">'DEPT-Council &amp; Senate'!$A$14:$Q$37</definedName>
    <definedName name="_xlnm.Print_Titles" localSheetId="17">'DEPT-Exams &amp; Records'!$14:$14</definedName>
    <definedName name="_xlnm._FilterDatabase" localSheetId="17" hidden="1">'DEPT-Exams &amp; Records'!$A$14:$Q$38</definedName>
    <definedName name="_xlnm.Print_Titles" localSheetId="15">'DEPT-HR Establishments'!$14:$14</definedName>
    <definedName name="_xlnm._FilterDatabase" localSheetId="15" hidden="1">'DEPT-HR Establishments'!$A$14:$Q$39</definedName>
    <definedName name="_xlnm.Print_Titles" localSheetId="22">'DEPT-Info &amp; PR'!$14:$14</definedName>
    <definedName name="_xlnm._FilterDatabase" localSheetId="22" hidden="1">'DEPT-Info &amp; PR'!$A$14:$Q$38</definedName>
    <definedName name="_xlnm.Print_Titles" localSheetId="21">'DEPT-Legal Unit'!$14:$14</definedName>
    <definedName name="_xlnm._FilterDatabase" localSheetId="21" hidden="1">'DEPT-Legal Unit'!$A$14:$Q$39</definedName>
    <definedName name="_xlnm.Print_Titles" localSheetId="20">'DEPT-Library'!$14:$14</definedName>
    <definedName name="_xlnm._FilterDatabase" localSheetId="20" hidden="1">'DEPT-Library'!$A$14:$Q$38</definedName>
    <definedName name="_xlnm.Print_Titles" localSheetId="23">'DEPT-Procurement'!$14:$14</definedName>
    <definedName name="_xlnm._FilterDatabase" localSheetId="23" hidden="1">'DEPT-Procurement'!$A$14:$Q$37</definedName>
    <definedName name="_xlnm.Print_Titles" localSheetId="6">'DIR-Academic Planning'!$14:$14</definedName>
    <definedName name="_xlnm._FilterDatabase" localSheetId="6" hidden="1">'DIR-Academic Planning'!$A$14:$Q$38</definedName>
    <definedName name="_xlnm.Print_Titles" localSheetId="14">'DIR-Advancement'!$14:$14</definedName>
    <definedName name="_xlnm._FilterDatabase" localSheetId="14" hidden="1">'DIR-Advancement'!$A$14:$Q$38</definedName>
    <definedName name="_xlnm.Print_Titles" localSheetId="9">'DIR-Health Services'!$14:$14</definedName>
    <definedName name="_xlnm._FilterDatabase" localSheetId="9" hidden="1">'DIR-Health Services'!$A$14:$Q$40</definedName>
    <definedName name="_xlnm.Print_Titles" localSheetId="5">'DIR-ICT'!$14:$14</definedName>
    <definedName name="_xlnm._FilterDatabase" localSheetId="5" hidden="1">'DIR-ICT'!$A$14:$Q$42</definedName>
    <definedName name="_xlnm.Print_Titles" localSheetId="12">'DIR-Linkages'!$14:$14</definedName>
    <definedName name="_xlnm._FilterDatabase" localSheetId="12" hidden="1">'DIR-Linkages'!$A$14:$Q$38</definedName>
    <definedName name="_xlnm.Print_Titles" localSheetId="8">'DIR-Physical Planning'!$14:$14</definedName>
    <definedName name="_xlnm._FilterDatabase" localSheetId="8" hidden="1">'DIR-Physical Planning'!$A$14:$Q$37</definedName>
    <definedName name="_xlnm.Print_Titles" localSheetId="7">'DIR-Quality Assurance'!$14:$14</definedName>
    <definedName name="_xlnm._FilterDatabase" localSheetId="7" hidden="1">'DIR-Quality Assurance'!$A$14:$Q$38</definedName>
    <definedName name="_xlnm.Print_Titles" localSheetId="11">'DIR-Research &amp; Dev'!$14:$14</definedName>
    <definedName name="_xlnm._FilterDatabase" localSheetId="11" hidden="1">'DIR-Research &amp; Dev'!$A$14:$Q$38</definedName>
    <definedName name="_xlnm.Print_Titles" localSheetId="10">'DIR-Security Services'!$14:$14</definedName>
    <definedName name="_xlnm._FilterDatabase" localSheetId="10" hidden="1">'DIR-Security Services'!$A$14:$Q$40</definedName>
    <definedName name="_xlnm.Print_Titles" localSheetId="13">'DIR-Student Affairs'!$14:$14</definedName>
    <definedName name="_xlnm._FilterDatabase" localSheetId="13" hidden="1">'DIR-Student Affairs'!$A$14:$Q$39</definedName>
    <definedName name="_xlnm.Print_Titles" localSheetId="31">'FAC-Agriculture'!$14:$14</definedName>
    <definedName name="_xlnm._FilterDatabase" localSheetId="31" hidden="1">'FAC-Agriculture'!$A$14:$Q$37</definedName>
    <definedName name="_xlnm.Print_Titles" localSheetId="24">'FAC-Arts'!$14:$14</definedName>
    <definedName name="_xlnm._FilterDatabase" localSheetId="24" hidden="1">'FAC-Arts'!$A$14:$Q$37</definedName>
    <definedName name="_xlnm.Print_Titles" localSheetId="34">'FAC-Basic Medical Sci'!$14:$14</definedName>
    <definedName name="_xlnm._FilterDatabase" localSheetId="34" hidden="1">'FAC-Basic Medical Sci'!$A$14:$Q$38</definedName>
    <definedName name="_xlnm.Print_Titles" localSheetId="35">'FAC-Clinical Sci'!$14:$14</definedName>
    <definedName name="_xlnm._FilterDatabase" localSheetId="35" hidden="1">'FAC-Clinical Sci'!$A$14:$Q$39</definedName>
    <definedName name="_xlnm.Print_Titles" localSheetId="36">'FAC-Computing'!$14:$14</definedName>
    <definedName name="_xlnm._FilterDatabase" localSheetId="36" hidden="1">'FAC-Computing'!$A$14:$Q$38</definedName>
    <definedName name="_xlnm.Print_Titles" localSheetId="25">'FAC-Education'!$14:$14</definedName>
    <definedName name="_xlnm._FilterDatabase" localSheetId="25" hidden="1">'FAC-Education'!$A$14:$Q$38</definedName>
    <definedName name="_xlnm.Print_Titles" localSheetId="26">'FAC-Engineering'!$14:$14</definedName>
    <definedName name="_xlnm._FilterDatabase" localSheetId="26" hidden="1">'FAC-Engineering'!$A$14:$Q$37</definedName>
    <definedName name="_xlnm.Print_Titles" localSheetId="32">'FAC-Environmental Sci'!$14:$14</definedName>
    <definedName name="_xlnm._FilterDatabase" localSheetId="32" hidden="1">'FAC-Environmental Sci'!$A$14:$Q$37</definedName>
    <definedName name="_xlnm.Print_Titles" localSheetId="27">'FAC-Law'!$14:$14</definedName>
    <definedName name="_xlnm._FilterDatabase" localSheetId="27" hidden="1">'FAC-Law'!$A$14:$Q$38</definedName>
    <definedName name="_xlnm.Print_Titles" localSheetId="28">'FAC-Management Sciences'!$14:$14</definedName>
    <definedName name="_xlnm._FilterDatabase" localSheetId="28" hidden="1">'FAC-Management Sciences'!$A$14:$Q$37</definedName>
    <definedName name="_xlnm.Print_Titles" localSheetId="33">'FAC-Pharmaceutical Sci'!$14:$14</definedName>
    <definedName name="_xlnm._FilterDatabase" localSheetId="33" hidden="1">'FAC-Pharmaceutical Sci'!$A$14:$Q$37</definedName>
    <definedName name="_xlnm.Print_Titles" localSheetId="29">'FAC-Science'!$14:$14</definedName>
    <definedName name="_xlnm._FilterDatabase" localSheetId="29" hidden="1">'FAC-Science'!$A$14:$Q$37</definedName>
    <definedName name="_xlnm.Print_Titles" localSheetId="30">'FAC-Social Sciences'!$14:$14</definedName>
    <definedName name="_xlnm._FilterDatabase" localSheetId="30" hidden="1">'FAC-Social Sciences'!$A$14:$Q$38</definedName>
    <definedName name="_xlnm.Print_Titles" localSheetId="40">'SCH-Basic Studies'!$14:$14</definedName>
    <definedName name="_xlnm._FilterDatabase" localSheetId="40" hidden="1">'SCH-Basic Studies'!$A$14:$Q$38</definedName>
    <definedName name="_xlnm.Print_Titles" localSheetId="39">'SCH-Distance Learning'!$14:$14</definedName>
    <definedName name="_xlnm._FilterDatabase" localSheetId="39" hidden="1">'SCH-Distance Learning'!$A$14:$Q$39</definedName>
    <definedName name="_xlnm.Print_Titles" localSheetId="38">'SCH-General Studies'!$14:$14</definedName>
    <definedName name="_xlnm._FilterDatabase" localSheetId="38" hidden="1">'SCH-General Studies'!$A$14:$Q$37</definedName>
    <definedName name="_xlnm.Print_Titles" localSheetId="37">'SCH-Postgraduate'!$14:$14</definedName>
    <definedName name="_xlnm._FilterDatabase" localSheetId="37" hidden="1">'SCH-Postgraduate'!$A$14:$Q$39</definedName>
    <definedName name="_xlnm.Print_Titles" localSheetId="41">'SCH-Staff School'!$14:$14</definedName>
    <definedName name="_xlnm._FilterDatabase" localSheetId="41" hidden="1">'SCH-Staff School'!$A$14:$Q$39</definedName>
  </definedNames>
  <calcPr iterateDelta="1.0E-4"/>
</workbook>
</file>

<file path=xl/sharedStrings.xml><?xml version="1.0" encoding="utf-8"?>
<sst xmlns="http://schemas.openxmlformats.org/spreadsheetml/2006/main" uniqueCount="2527" count="2527">
  <si>
    <t>NDPA 2023 / GAID 2025 Compliance Audit Work Plan</t>
  </si>
  <si>
    <t>Typical Nigerian University — prepared to support the annual Compliance Audit Returns (CAR) under GAID Article 10</t>
  </si>
  <si>
    <t>Purpose</t>
  </si>
  <si>
    <t>Risk-based audit work plan covering every faculty, school, directorate and central department so the University can evidence compliance and file its CAR (Schedule 2 template) through a licensed DPCO.</t>
  </si>
  <si>
    <t>Audit period</t>
  </si>
  <si>
    <t>1 January – 31 December 2026 (audit year). Fieldwork Nov 2026 – Feb 2027. CAR filing deadline: 31 March 2027 (GAID Art. 10(7)).</t>
  </si>
  <si>
    <t>Assumption</t>
  </si>
  <si>
    <t>The University is a Data Controller of Major Importance (likely EHL as a public institution). Confirm the actual level against Schedule 7 — only UHL/EHL file CAR; OHL renews registration instead (Art. 9(2)-(3)).</t>
  </si>
  <si>
    <t>Structure</t>
  </si>
  <si>
    <t>Dashboard = audit universe + live scores. CAR Framework = base controls applied to every unit. Timeline = audit phases. One tab per unit, prefixed CEN / DIR / DEPT / FAC / SCH.</t>
  </si>
  <si>
    <t>Academic departments</t>
  </si>
  <si>
    <t>Academic departments (e.g., Dept. of Economics) sit inside their faculty tab — the faculty audit samples records at department level. Add a tab per academic department by copying a faculty tab if needed.</t>
  </si>
  <si>
    <t>Cells to edit</t>
  </si>
  <si>
    <t>Yellow cells only: unit header details (Head of Unit, Lead Auditor, planned dates), Risk, Auditor, Status, Compliance Rating, Findings, Recommendation, Management Response, Target Date. Blue-header columns are reference content. Grey cells are formulas — do not overwrite.</t>
  </si>
  <si>
    <t>Scoring</t>
  </si>
  <si>
    <t>Compliant = 100%, Partially Compliant = 50%, Non-Compliant = 0%, Not Applicable = excluded. Unit score = average of rated controls; it flows to the Dashboard automatically.</t>
  </si>
  <si>
    <t>Planned dates</t>
  </si>
  <si>
    <t>Each control row inherits the unit's planned start/end from the header. Change the header dates and all rows update; overwrite a row date only if that control is scheduled separately.</t>
  </si>
  <si>
    <t>Source</t>
  </si>
  <si>
    <t>Nigeria Data Protection Commission, NDP Act General Application and Implementation Directive (GAID) 2025, NDPC/NDP ACT-GAID/01/2025, issued 20 March 2025, effective 19 September 2025 — ndpc.gov.ng. Unit profiles are typical assumptions; adjust to the actual institution.</t>
  </si>
  <si>
    <t>Legend</t>
  </si>
  <si>
    <t>Input cell — fill in during the audit</t>
  </si>
  <si>
    <t>Formula cell — calculated automatically</t>
  </si>
  <si>
    <t>Reference / plan content</t>
  </si>
  <si>
    <t>Example of a completed control row</t>
  </si>
  <si>
    <t>Ref</t>
  </si>
  <si>
    <t>DEPT-ADM-04</t>
  </si>
  <si>
    <t>CAR Area</t>
  </si>
  <si>
    <t>Consent (CAR disclosure)</t>
  </si>
  <si>
    <t>Risk</t>
  </si>
  <si>
    <t>High</t>
  </si>
  <si>
    <t>Auditor</t>
  </si>
  <si>
    <t>A. Bello</t>
  </si>
  <si>
    <t>Status</t>
  </si>
  <si>
    <t>Completed</t>
  </si>
  <si>
    <t>Compliance Rating</t>
  </si>
  <si>
    <t>Partially Compliant</t>
  </si>
  <si>
    <t>Findings</t>
  </si>
  <si>
    <t>Admissions portal captures DOB but has no parental consent step for applicants under 18; 212 applicants aged 16–17 in 2026 cycle.</t>
  </si>
  <si>
    <t>Recommendation</t>
  </si>
  <si>
    <t>Add guardian consent screen for under-18 applicants; retro-notify guardians of current minors.</t>
  </si>
  <si>
    <t>Management Response</t>
  </si>
  <si>
    <t>Agreed. Owner: Admissions Officer with DICT. Target: 30 April 2027.</t>
  </si>
  <si>
    <t>Audit Universe &amp; Compliance Dashboard</t>
  </si>
  <si>
    <t>Typical Nigerian University — NDPA 2023 / GAID 2025 Art. 10 CAR audit (2026 audit year, filing by 31 March 2027). Scores update from each unit tab.</t>
  </si>
  <si>
    <t>Summary by Unit Type</t>
  </si>
  <si>
    <t>Unit Type</t>
  </si>
  <si>
    <t>No. of Units</t>
  </si>
  <si>
    <t>Controls</t>
  </si>
  <si>
    <t>Non-Compliant</t>
  </si>
  <si>
    <t>Avg. Score</t>
  </si>
  <si>
    <t>Central Governance</t>
  </si>
  <si>
    <t>Directorate</t>
  </si>
  <si>
    <t>Department</t>
  </si>
  <si>
    <t>Faculty</t>
  </si>
  <si>
    <t>School</t>
  </si>
  <si>
    <t>University Total</t>
  </si>
  <si>
    <t>Audit Universe</t>
  </si>
  <si>
    <t>#</t>
  </si>
  <si>
    <t>Unit</t>
  </si>
  <si>
    <t>Reports To</t>
  </si>
  <si>
    <t>Head of Unit</t>
  </si>
  <si>
    <t>Inherent Risk</t>
  </si>
  <si>
    <t>Planned Start</t>
  </si>
  <si>
    <t>Compliant</t>
  </si>
  <si>
    <t>Partial</t>
  </si>
  <si>
    <t>Score</t>
  </si>
  <si>
    <t>Open Tab</t>
  </si>
  <si>
    <t>Data Protection Office (DPO) &amp; Central Governance</t>
  </si>
  <si>
    <t>Vice-Chancellor / University Management</t>
  </si>
  <si>
    <t>Open →</t>
  </si>
  <si>
    <t>Directorate of Information &amp; Communication Technology (DICT)</t>
  </si>
  <si>
    <t>Vice-Chancellor</t>
  </si>
  <si>
    <t>Directorate of Academic Planning</t>
  </si>
  <si>
    <t>Directorate of Quality Assurance</t>
  </si>
  <si>
    <t>Directorate of Physical Planning &amp; Works</t>
  </si>
  <si>
    <t>Directorate of Health Services (University Health Centre)</t>
  </si>
  <si>
    <t>Directorate of Security Services</t>
  </si>
  <si>
    <t>Directorate of Research, Innovation &amp; Development</t>
  </si>
  <si>
    <t>DVC (Research)</t>
  </si>
  <si>
    <t>Directorate of Linkages &amp; International Collaborations</t>
  </si>
  <si>
    <t>Directorate of Student Affairs</t>
  </si>
  <si>
    <t>DVC (Academic)</t>
  </si>
  <si>
    <t>Directorate of Advancement, Alumni &amp; Endowment</t>
  </si>
  <si>
    <t>Registry – Establishments / Human Resources</t>
  </si>
  <si>
    <t>Registrar</t>
  </si>
  <si>
    <t>Registry – Admissions Office</t>
  </si>
  <si>
    <t>Registry – Examinations &amp; Records</t>
  </si>
  <si>
    <t>Registry – Council &amp; Senate Affairs</t>
  </si>
  <si>
    <t>Bursary Department</t>
  </si>
  <si>
    <t>University Library</t>
  </si>
  <si>
    <t>Legal Unit</t>
  </si>
  <si>
    <t>Information, Public Relations &amp; Protocol</t>
  </si>
  <si>
    <t>Procurement Department</t>
  </si>
  <si>
    <t>Faculty of Arts</t>
  </si>
  <si>
    <t>Faculty of Education</t>
  </si>
  <si>
    <t>Faculty of Engineering</t>
  </si>
  <si>
    <t>Faculty of Law</t>
  </si>
  <si>
    <t>Faculty of Management Sciences</t>
  </si>
  <si>
    <t>Faculty of Science</t>
  </si>
  <si>
    <t>Faculty of Social Sciences</t>
  </si>
  <si>
    <t>Faculty of Agriculture</t>
  </si>
  <si>
    <t>Faculty of Environmental Sciences</t>
  </si>
  <si>
    <t>Faculty of Pharmaceutical Sciences</t>
  </si>
  <si>
    <t>Faculty of Basic Medical Sciences</t>
  </si>
  <si>
    <t>Provost, College of Health Sciences</t>
  </si>
  <si>
    <t>Faculty of Clinical Sciences</t>
  </si>
  <si>
    <t>Faculty of Computing</t>
  </si>
  <si>
    <t>School of Postgraduate Studies</t>
  </si>
  <si>
    <t>School of General Studies</t>
  </si>
  <si>
    <t>Centre/School of Distance Learning &amp; Continuing Education</t>
  </si>
  <si>
    <t>School of Basic / Pre-Degree Studies (JUPEB/IJMB)</t>
  </si>
  <si>
    <t>University Staff School (Nursery/Primary/Secondary)</t>
  </si>
  <si>
    <t>Score bands: red &lt; 50%, amber 50–79%, green ≥ 80%. Green text = linked from unit tabs.</t>
  </si>
  <si>
    <t>CAR Base Control Framework (applied to every unit)</t>
  </si>
  <si>
    <t>Derived from GAID 2025 Art. 10 (Filing of CAR) and the obligations that feed the CAR (Arts. 7, 13, 15-19, 27-36, 45-49). Unit tabs add unit-specific controls after these.</t>
  </si>
  <si>
    <t>No.</t>
  </si>
  <si>
    <t>GAID / NDPA Reference</t>
  </si>
  <si>
    <t>Control Objective</t>
  </si>
  <si>
    <t>Standard Audit Procedure</t>
  </si>
  <si>
    <t>Evidence</t>
  </si>
  <si>
    <t>Default Risk</t>
  </si>
  <si>
    <t>ROPA</t>
  </si>
  <si>
    <t>GAID Art. 13(2)-(3), Art. 52; NDPA s.24(3)</t>
  </si>
  <si>
    <t>All processing activities of the unit are captured in the Record of Processing Activities (ROPA) submitted to the DPO.</t>
  </si>
  <si>
    <t>Walk through the unit's key processing (its key processes) and confirm each activity is captured in the ROPA with purpose, data categories, recipients and retention.</t>
  </si>
  <si>
    <t>Unit ROPA extract; process walkthrough notes</t>
  </si>
  <si>
    <t>Data inventory &amp; sensitive data</t>
  </si>
  <si>
    <t>NDPA s.30; GAID Art. 28(3)(d)</t>
  </si>
  <si>
    <t>Personal and sensitive personal data held by the unit is identified and classified.</t>
  </si>
  <si>
    <t>Inventory data held (its data); flag sensitive categories and confirm they are recorded as such.</t>
  </si>
  <si>
    <t>Data inventory; classification register</t>
  </si>
  <si>
    <t>Lawful basis</t>
  </si>
  <si>
    <t>GAID Art. 16, 23; NDPA s.25</t>
  </si>
  <si>
    <t>A documented lawful basis exists for each processing activity; legitimate interest supported by LIA.</t>
  </si>
  <si>
    <t>For each ROPA activity, confirm lawful basis is recorded and appropriate; where legitimate interest is used, inspect Schedule 8 LIA.</t>
  </si>
  <si>
    <t>Lawful basis register; LIAs</t>
  </si>
  <si>
    <t>GAID Art. 17, 18(1)-(2); NDPA s.26</t>
  </si>
  <si>
    <t>Consent is obtained and recorded where required (marketing, sensitive data, children, incompatible further processing, transfers, automated decisions) — CAR must state reliance.</t>
  </si>
  <si>
    <t>Identify Art. 18(1) activities in the unit; test consent capture, records and ease of withdrawal for a sample of 5.</t>
  </si>
  <si>
    <t>Consent forms/records; withdrawal mechanism</t>
  </si>
  <si>
    <t>Privacy notice at collection</t>
  </si>
  <si>
    <t>GAID Art. 27; Art. 7(j)-(m); NDPA s.27</t>
  </si>
  <si>
    <t>Data subjects receive clear privacy information at every collection point (forms, portals, surveys).</t>
  </si>
  <si>
    <t>Collect all forms/portals used by the unit; check each notice against Art. 27(3)(a)-(j).</t>
  </si>
  <si>
    <t>Forms; screenshots; notice checklist</t>
  </si>
  <si>
    <t>Medium</t>
  </si>
  <si>
    <t>Minimisation &amp; purpose limitation</t>
  </si>
  <si>
    <t>GAID Art. 15 &amp; Sch. 1; NDPA s.24(1)(b),(c)</t>
  </si>
  <si>
    <t>Only data necessary for the stated purpose is collected and used.</t>
  </si>
  <si>
    <t>Review fields on the unit forms and systems (its systems); identify excessive fields (e.g., religion, NIN, BVN) not justified by purpose.</t>
  </si>
  <si>
    <t>Form review worksheet</t>
  </si>
  <si>
    <t>Retention &amp; disposal</t>
  </si>
  <si>
    <t>GAID Art. 49(3)-(4); NDPA s.24(1)(d)</t>
  </si>
  <si>
    <t>Retention periods defined; data disposed of securely (default not later than 6 months after purpose ends unless justified).</t>
  </si>
  <si>
    <t>Obtain retention schedule; inspect archives/systems for data past retention; review disposal records (shredding/wiping).</t>
  </si>
  <si>
    <t>Retention schedule; disposal certificates</t>
  </si>
  <si>
    <t>Accuracy &amp; rectification</t>
  </si>
  <si>
    <t>GAID Art. 36; NDPA s.24(1)(e)</t>
  </si>
  <si>
    <t>Data subjects can verify and correct data; input errors by the unit corrected free of charge.</t>
  </si>
  <si>
    <t>Review rectification procedure (e.g., name/DOB corrections); sample 5 requests for timeliness and absence of fees for unit errors.</t>
  </si>
  <si>
    <t>Correction requests; procedure</t>
  </si>
  <si>
    <t>Data subject rights</t>
  </si>
  <si>
    <t>GAID Art. 36-38, 40; NDPA s.34-38</t>
  </si>
  <si>
    <t>Access, erasure, portability, objection requests and SNAGs are logged, escalated to the DPO and resolved on time.</t>
  </si>
  <si>
    <t>Enquire about requests received by the unit; test log and escalation to DPO.</t>
  </si>
  <si>
    <t>Rights request log; SNAG responses</t>
  </si>
  <si>
    <t>Physical &amp; access security</t>
  </si>
  <si>
    <t>NDPA s.39; GAID Art. 29</t>
  </si>
  <si>
    <t>Physical records and system access are restricted on a need-to-know basis.</t>
  </si>
  <si>
    <t>Inspect records rooms/cabinets; review user access list for its systems and confirm leavers are removed.</t>
  </si>
  <si>
    <t>Access lists; site inspection photos</t>
  </si>
  <si>
    <t>Technical security &amp; devices</t>
  </si>
  <si>
    <t>GAID Art. 10(5), 29(2); NDPA s.39</t>
  </si>
  <si>
    <t>Unit devices and online systems use authentication, encryption, updated software and are audited frequently.</t>
  </si>
  <si>
    <t>Sample 5 unit laptops/desktops: password, screen lock, encryption, antivirus, OS updates; check use of personal email/USB for personal data.</t>
  </si>
  <si>
    <t>Device checklist; screenshots</t>
  </si>
  <si>
    <t>Third-party processors &amp; DPAs</t>
  </si>
  <si>
    <t>GAID Art. 34; NDPA s.29</t>
  </si>
  <si>
    <t>Vendors/partners processing personal data for {u} have Data Processing Agreements and were vetted.</t>
  </si>
  <si>
    <t>List third parties receiving data from the unit; inspect DPAs against Art. 34(2).</t>
  </si>
  <si>
    <t>Vendor list; DPAs</t>
  </si>
  <si>
    <t>DPIA</t>
  </si>
  <si>
    <t>GAID Art. 28(1)-(5),(13) &amp; Sch. 4</t>
  </si>
  <si>
    <t>DPIA completed where processing is high-risk (incl. educational services records under Art. 28(3)(m)) and outcome feeds the CAR.</t>
  </si>
  <si>
    <t>Assess whether the unit's processing triggers Art. 28(3); inspect DPIA and DPO sign-off.</t>
  </si>
  <si>
    <t>DPIA; DPO sign-off</t>
  </si>
  <si>
    <t>Cross-border transfers</t>
  </si>
  <si>
    <t>GAID Art. 45 &amp; Sch. 5; NDPA s.41-43</t>
  </si>
  <si>
    <t>Any transfer of personal data outside Nigeria (cloud tools, foreign partners) has a valid transfer basis.</t>
  </si>
  <si>
    <t>Identify foreign tools/partners used by the unit (e.g., Google Workspace, Zoom, foreign institutions) and confirm transfer basis.</t>
  </si>
  <si>
    <t>Tool inventory; transfer assessment</t>
  </si>
  <si>
    <t>Breach detection &amp; escalation</t>
  </si>
  <si>
    <t>GAID Art. 33; NDPA s.40</t>
  </si>
  <si>
    <t>Staff know how to recognise and report breaches immediately to the DPO to meet the 72-hour NDPC deadline.</t>
  </si>
  <si>
    <t>Interview 3 staff on breach reporting; review incidents in the unit during the year and escalation timestamps.</t>
  </si>
  <si>
    <t>Interview notes; incident reports</t>
  </si>
  <si>
    <t>Training &amp; privacy checklist</t>
  </si>
  <si>
    <t>GAID Art. 7(v), 30(7), 46</t>
  </si>
  <si>
    <t>Staff handling personal data are trained at least annually and have a basic privacy checklist.</t>
  </si>
  <si>
    <t>Compare training attendance to staff list of the unit; confirm basic privacy checklist is available.</t>
  </si>
  <si>
    <t>Training register; checklist</t>
  </si>
  <si>
    <t>Privacy Champion</t>
  </si>
  <si>
    <t>GAID Art. 7(i)</t>
  </si>
  <si>
    <t>An Associate DPO / Privacy Champion is designated for the unit and liaises with the DPO.</t>
  </si>
  <si>
    <t>Inspect designation letter and evidence of liaison (meetings, reports).</t>
  </si>
  <si>
    <t>Designation letter; minutes</t>
  </si>
  <si>
    <t>Low</t>
  </si>
  <si>
    <t>Routine compliance checks</t>
  </si>
  <si>
    <t>GAID Art. 30(8)</t>
  </si>
  <si>
    <t>Unannounced routine compliance checks are carried out in the unit.</t>
  </si>
  <si>
    <t>Review results of routine checks performed in the unit during the year.</t>
  </si>
  <si>
    <t>Check reports</t>
  </si>
  <si>
    <t>SADPR input</t>
  </si>
  <si>
    <t>GAID Art. 13(5)</t>
  </si>
  <si>
    <t>Unit provides inputs to the DPO's Semi-Annual Data Protection Report.</t>
  </si>
  <si>
    <t>Confirm the unit submissions for H1 and H2 reports.</t>
  </si>
  <si>
    <t>Submissions to DPO</t>
  </si>
  <si>
    <t>Software &amp; emerging tech</t>
  </si>
  <si>
    <t>GAID Art. 31, 43</t>
  </si>
  <si>
    <t>New software, apps or AI tools adopted by the unit had DPIA and privacy by design review.</t>
  </si>
  <si>
    <t>Enquire about new tools adopted by the unit (incl. AI tools); inspect approvals/DPIAs.</t>
  </si>
  <si>
    <t>Tool approvals; DPIAs</t>
  </si>
  <si>
    <t>Data ethics &amp; fairness</t>
  </si>
  <si>
    <t>GAID Art. 41-42</t>
  </si>
  <si>
    <t>Processing is fair, transparent and non-discriminatory; outcomes assessed.</t>
  </si>
  <si>
    <t>Review decisions based on personal data in the unit (e.g., selection, discipline) for fairness and transparency.</t>
  </si>
  <si>
    <t>Decision records</t>
  </si>
  <si>
    <t>Prior findings follow-up</t>
  </si>
  <si>
    <t>GAID Art. 10(1), (11)</t>
  </si>
  <si>
    <t>Previous audit/CAR findings for the unit are remediated.</t>
  </si>
  <si>
    <t>Obtain prior-year findings for the unit; verify implementation of each agreed action.</t>
  </si>
  <si>
    <t>Prior report; action tracker</t>
  </si>
  <si>
    <t>Audit &amp; CAR Filing Timeline — 2026 Audit Year</t>
  </si>
  <si>
    <t>Phase</t>
  </si>
  <si>
    <t>Activity</t>
  </si>
  <si>
    <t>Start</t>
  </si>
  <si>
    <t>End</t>
  </si>
  <si>
    <t>Days</t>
  </si>
  <si>
    <t>Owner</t>
  </si>
  <si>
    <t>GAID Reference</t>
  </si>
  <si>
    <t>1. Planning</t>
  </si>
  <si>
    <t>Confirm DCMI level, engage licensed DPCO, approve audit plan &amp; universe</t>
  </si>
  <si>
    <t>DPO / Internal Audit</t>
  </si>
  <si>
    <t>Art. 8, 9, 10(14)</t>
  </si>
  <si>
    <t>Not Started</t>
  </si>
  <si>
    <t>Issue ROPA &amp; data inventory requests to all units</t>
  </si>
  <si>
    <t>DPO</t>
  </si>
  <si>
    <t>Art. 13</t>
  </si>
  <si>
    <t>2. Fieldwork</t>
  </si>
  <si>
    <t>Central governance (DPO office)</t>
  </si>
  <si>
    <t>Audit team</t>
  </si>
  <si>
    <t>Art. 10-14</t>
  </si>
  <si>
    <t>Directorates</t>
  </si>
  <si>
    <t>Art. 10(2)-(5)</t>
  </si>
  <si>
    <t>Central administrative departments</t>
  </si>
  <si>
    <t>Faculties</t>
  </si>
  <si>
    <t>Schools</t>
  </si>
  <si>
    <t>3. Reporting</t>
  </si>
  <si>
    <t>Draft unit reports &amp; management responses</t>
  </si>
  <si>
    <t>Audit team / Unit heads</t>
  </si>
  <si>
    <t>Art. 10(1)</t>
  </si>
  <si>
    <t>Consolidate findings into Schedule 2 CAR template; DPCO verification of SADPR &amp; DPIAs</t>
  </si>
  <si>
    <t>DPCO / DPO</t>
  </si>
  <si>
    <t>Art. 10(6), 13(4), 28(5)</t>
  </si>
  <si>
    <t>4. Filing</t>
  </si>
  <si>
    <t>Management approval &amp; payment of CAR filing fee</t>
  </si>
  <si>
    <t>VC / Bursary</t>
  </si>
  <si>
    <t>Art. 10(10) &amp; Sch. 10</t>
  </si>
  <si>
    <t>File CAR on NDPC portal via DPCO (deadline 31 March)</t>
  </si>
  <si>
    <t>DPCO</t>
  </si>
  <si>
    <t>Art. 10(7), 10(12)</t>
  </si>
  <si>
    <t>5. Follow-up</t>
  </si>
  <si>
    <t>Respond to NDPC requests; track remediation of findings</t>
  </si>
  <si>
    <t>Art. 10(11), 10(13)</t>
  </si>
  <si>
    <t>Note: weekend days excluded via NETWORKDAYS; public holidays (Christmas, New Year, Easter) not deducted — adjust dates if needed.</t>
  </si>
  <si>
    <t>Compliance Audit Work Plan — Data Protection Office (DPO) &amp; Central Governance</t>
  </si>
  <si>
    <t>← Back to Dashboard</t>
  </si>
  <si>
    <t>NDPA 2023 / GAID 2025 — Article 10 Compliance Audit Returns (CAR) | Audit year 2026 | CAR due 31 March 2027</t>
  </si>
  <si>
    <t>Lead Auditor</t>
  </si>
  <si>
    <t>[Enter name]</t>
  </si>
  <si>
    <t>Unit type</t>
  </si>
  <si>
    <t>Reports to</t>
  </si>
  <si>
    <t>Planned End</t>
  </si>
  <si>
    <t>Controls in plan</t>
  </si>
  <si>
    <t>Data subjects</t>
  </si>
  <si>
    <t>All data subjects of the University</t>
  </si>
  <si>
    <t>Key personal data</t>
  </si>
  <si>
    <t>Consolidated ROPA, DPIAs, breach register, complaints, CAR records</t>
  </si>
  <si>
    <t>Key systems / records</t>
  </si>
  <si>
    <t>CAR portal, ROPA register, breach log</t>
  </si>
  <si>
    <t>Inherent data risk</t>
  </si>
  <si>
    <t>Not Applicable</t>
  </si>
  <si>
    <t>Compliance Score</t>
  </si>
  <si>
    <t>Audit Procedure</t>
  </si>
  <si>
    <t>Evidence to Obtain</t>
  </si>
  <si>
    <t>Management Response / Owner</t>
  </si>
  <si>
    <t>Target Date</t>
  </si>
  <si>
    <t>CEN-DO-01</t>
  </si>
  <si>
    <t>Registration as DCMI</t>
  </si>
  <si>
    <t>GAID Art. 8, 9 &amp; Sch. 7; NDPA s.44</t>
  </si>
  <si>
    <t>University is registered with NDPC as a Data Controller of Major Importance at the correct level (UHL/EHL/OHL).</t>
  </si>
  <si>
    <t>Confirm NDPC registration certificate, check classification against Schedule 7 criteria (student + staff population, sensitivity) and confirm level is still accurate.</t>
  </si>
  <si>
    <t>NDPC registration certificate; classification working paper</t>
  </si>
  <si>
    <t>CEN-DO-02</t>
  </si>
  <si>
    <t>Registration changes</t>
  </si>
  <si>
    <t>GAID Art. 9(4)</t>
  </si>
  <si>
    <t>Significant changes to registration details notified to NDPC within 60 days.</t>
  </si>
  <si>
    <t>Identify changes in the year (new VC/DPO, new campuses, new systems) and trace notification to NDPC within 60 days.</t>
  </si>
  <si>
    <t>Change log; NDPC correspondence</t>
  </si>
  <si>
    <t>CEN-DO-03</t>
  </si>
  <si>
    <t>CAR filing</t>
  </si>
  <si>
    <t>GAID Art. 10(6),(7),(12),(14)</t>
  </si>
  <si>
    <t>Annual CAR prepared on the Schedule 2 template and filed through a licensed DPCO via the NDPC portal by 31 March.</t>
  </si>
  <si>
    <t>Confirm engagement of an NDPC-licensed DPCO, review prior-year CAR filing date and portal acknowledgement, confirm current CAR timetable meets 31 March deadline.</t>
  </si>
  <si>
    <t>DPCO licence; DPCO engagement letter; prior CAR acknowledgement / certificate</t>
  </si>
  <si>
    <t>CEN-DO-04</t>
  </si>
  <si>
    <t>CAR fees &amp; penalties</t>
  </si>
  <si>
    <t>GAID Art. 10(9),(10) &amp; Sch. 10</t>
  </si>
  <si>
    <t>Filing fee paid at the correct rate; no 50% late-filing penalty incurred.</t>
  </si>
  <si>
    <t>Recompute filing fee per Schedule 10, trace payment in Bursary records, check for late-filing penalty.</t>
  </si>
  <si>
    <t>Payment receipt; Schedule 10 computation</t>
  </si>
  <si>
    <t>CEN-DO-05</t>
  </si>
  <si>
    <t>NDPC information requests</t>
  </si>
  <si>
    <t>GAID Art. 10(11) &amp; (13)</t>
  </si>
  <si>
    <t>Additional information requested by NDPC after CAR filing was provided promptly; CAR certificate obtained.</t>
  </si>
  <si>
    <t>Review NDPC correspondence after last filing and confirm timely responses and receipt of CAR certificate.</t>
  </si>
  <si>
    <t>NDPC letters; response log; CAR certificate</t>
  </si>
  <si>
    <t>CEN-DO-06</t>
  </si>
  <si>
    <t>DPO designation</t>
  </si>
  <si>
    <t>GAID Art. 11, 12; NDPA s.32</t>
  </si>
  <si>
    <t>DPO formally designated, reports directly to management, is resourced and free from conflict of interest.</t>
  </si>
  <si>
    <t>Review appointment letter, organogram, DPO budget and other roles held; confirm DPO contact details published and communicated to NDPC.</t>
  </si>
  <si>
    <t>Appointment letter; organogram; website DPO contact page</t>
  </si>
  <si>
    <t>CEN-DO-07</t>
  </si>
  <si>
    <t>DPO credentials</t>
  </si>
  <si>
    <t>GAID Art. 14 &amp; Sch. 3</t>
  </si>
  <si>
    <t>DPO is certified and maintains CPD for Annual Credential Assessment.</t>
  </si>
  <si>
    <t>Inspect DPO certification and CPD evidence against Schedule 3 metrics.</t>
  </si>
  <si>
    <t>Certificates; CPD log</t>
  </si>
  <si>
    <t>CEN-DO-08</t>
  </si>
  <si>
    <t>Semi-Annual DP Report</t>
  </si>
  <si>
    <t>GAID Art. 13</t>
  </si>
  <si>
    <t>SADPR compiled twice in the year, acknowledged by management and filed with ROPA.</t>
  </si>
  <si>
    <t>Obtain both SADPRs, confirm coverage of Art. 13(5)(a)-(m) items and management acknowledgement.</t>
  </si>
  <si>
    <t>SADPR (H1 &amp; H2); acknowledgement</t>
  </si>
  <si>
    <t>CEN-DO-09</t>
  </si>
  <si>
    <t>Consolidated ROPA</t>
  </si>
  <si>
    <t>GAID Art. 13(3); Art. 52</t>
  </si>
  <si>
    <t>University-wide ROPA is complete and covers every faculty, school, directorate and department.</t>
  </si>
  <si>
    <t>Reconcile consolidated ROPA against the audit universe on the Dashboard; list units without ROPA entries.</t>
  </si>
  <si>
    <t>Consolidated ROPA; reconciliation</t>
  </si>
  <si>
    <t>CEN-DO-10</t>
  </si>
  <si>
    <t>Compliance schedules</t>
  </si>
  <si>
    <t>GAID Art. 7(d),(h)</t>
  </si>
  <si>
    <t>Schedule of NDPA obligations and compliance timelines exists and is tracked.</t>
  </si>
  <si>
    <t>Review compliance schedule and test status of five obligations to evidence.</t>
  </si>
  <si>
    <t>Compliance schedule / tracker</t>
  </si>
  <si>
    <t>CEN-DO-11</t>
  </si>
  <si>
    <t>MEM schedule</t>
  </si>
  <si>
    <t>GAID Art. 29(1)-(4)</t>
  </si>
  <si>
    <t>Monitoring, Evaluation &amp; Maintenance schedule for data security exists and is vetted by a certified information security officer.</t>
  </si>
  <si>
    <t>Inspect MEM schedule; confirm people/process/technology coverage and certification sign-off.</t>
  </si>
  <si>
    <t>MEM schedule; InfoSec officer certificate</t>
  </si>
  <si>
    <t>CEN-DO-12</t>
  </si>
  <si>
    <t>SToP schedule</t>
  </si>
  <si>
    <t>GAID Art. 30(1)-(5); Art. 46</t>
  </si>
  <si>
    <t>University-wide Sensitisation &amp; Training on Privacy schedule is approved and published to staff.</t>
  </si>
  <si>
    <t>Inspect SToP schedule, publication medium, and evaluation of stop/start/continue practices.</t>
  </si>
  <si>
    <t>SToP schedule; intranet/notice board evidence</t>
  </si>
  <si>
    <t>CEN-DO-13</t>
  </si>
  <si>
    <t>Privacy policy &amp; cookies</t>
  </si>
  <si>
    <t>GAID Art. 7(j)-(l), Art. 19</t>
  </si>
  <si>
    <t>University privacy policy and conspicuous cookie banner with accept/reject options are published on the website and portals.</t>
  </si>
  <si>
    <t>Visit main website, student portal and application portal; confirm banner position, reject option and policy content per Art. 27(3).</t>
  </si>
  <si>
    <t>Screenshots; privacy policy</t>
  </si>
  <si>
    <t>CEN-DO-14</t>
  </si>
  <si>
    <t>Complaints process</t>
  </si>
  <si>
    <t>GAID Art. 7(w), 39, 40 &amp; Sch. 9</t>
  </si>
  <si>
    <t>Complaints/SNAG process explained to data subjects, including right to complain to NDPC; SNAG decisions reported.</t>
  </si>
  <si>
    <t>Review complaints register and SNAGs received; test resolution timelines and NDPC reporting.</t>
  </si>
  <si>
    <t>Complaints register; SNAG responses</t>
  </si>
  <si>
    <t>CEN-DO-15</t>
  </si>
  <si>
    <t>Breach register</t>
  </si>
  <si>
    <t>Central breach register maintained; notifiable breaches reported to NDPC within 72 hours.</t>
  </si>
  <si>
    <t>Review breach register, test notification timestamps and Art. 33(5) content.</t>
  </si>
  <si>
    <t>Breach register; NDPC notifications</t>
  </si>
  <si>
    <t>CEN-DO-16</t>
  </si>
  <si>
    <t>DPIA filings</t>
  </si>
  <si>
    <t>GAID Art. 28(3),(5),(12)</t>
  </si>
  <si>
    <t>Mandatory DPIAs (incl. educational services, CCTV, health) completed, signed by a certified DPO and filed with NDPC; outcomes included in CAR.</t>
  </si>
  <si>
    <t>List high-risk processing across units and confirm DPIA exists, is signed and filed.</t>
  </si>
  <si>
    <t>DPIA register; NDPC filing evidence</t>
  </si>
  <si>
    <t>CEN-DO-17</t>
  </si>
  <si>
    <t>IDPM benchmarking</t>
  </si>
  <si>
    <t>GAID Art. 35</t>
  </si>
  <si>
    <t>Any benchmarking against interoperable data privacy measures is approved by NDPC.</t>
  </si>
  <si>
    <t>Enquire about IDPMs adopted (e.g., ISO 27701) and confirm approval where required.</t>
  </si>
  <si>
    <t>IDPM approvals</t>
  </si>
  <si>
    <t>CEN-DO-18</t>
  </si>
  <si>
    <t>Walk through Data Protection Office (DPO) &amp; Central Governance's key processing (registration, CAR preparation, ROPA consolidation, SADPR, complaints handling) and confirm each activity is captured in the ROPA with purpose, data categories, recipients and retention.</t>
  </si>
  <si>
    <t>CEN-DO-19</t>
  </si>
  <si>
    <t>Inventory data held (Consolidated ROPA, DPIAs, breach register, complaints, CAR records); flag sensitive categories and confirm they are recorded as such.</t>
  </si>
  <si>
    <t>CEN-DO-20</t>
  </si>
  <si>
    <t>CEN-DO-21</t>
  </si>
  <si>
    <t>Identify Art. 18(1) activities in Data Protection Office (DPO) &amp; Central Governance; test consent capture, records and ease of withdrawal for a sample of 5.</t>
  </si>
  <si>
    <t>CEN-DO-22</t>
  </si>
  <si>
    <t>Collect all forms/portals used by Data Protection Office (DPO) &amp; Central Governance; check each notice against Art. 27(3)(a)-(j).</t>
  </si>
  <si>
    <t>CEN-DO-23</t>
  </si>
  <si>
    <t>Review fields on Data Protection Office (DPO) &amp; Central Governance forms and systems (CAR portal, ROPA register, breach log); identify excessive fields (e.g., religion, NIN, BVN) not justified by purpose.</t>
  </si>
  <si>
    <t>CEN-DO-24</t>
  </si>
  <si>
    <t>CEN-DO-25</t>
  </si>
  <si>
    <t>CEN-DO-26</t>
  </si>
  <si>
    <t>Enquire about requests received by Data Protection Office (DPO) &amp; Central Governance; test log and escalation to DPO.</t>
  </si>
  <si>
    <t>CEN-DO-27</t>
  </si>
  <si>
    <t>Inspect records rooms/cabinets; review user access list for CAR portal, ROPA register, breach log and confirm leavers are removed.</t>
  </si>
  <si>
    <t>CEN-DO-28</t>
  </si>
  <si>
    <t>CEN-DO-29</t>
  </si>
  <si>
    <t>Vendors/partners processing personal data for Data Protection Office (DPO) &amp; Central Governance have Data Processing Agreements and were vetted.</t>
  </si>
  <si>
    <t>List third parties receiving data from Data Protection Office (DPO) &amp; Central Governance; inspect DPAs against Art. 34(2).</t>
  </si>
  <si>
    <t>CEN-DO-30</t>
  </si>
  <si>
    <t>Assess whether Data Protection Office (DPO) &amp; Central Governance's processing triggers Art. 28(3); inspect DPIA and DPO sign-off.</t>
  </si>
  <si>
    <t>CEN-DO-31</t>
  </si>
  <si>
    <t>Identify foreign tools/partners used by Data Protection Office (DPO) &amp; Central Governance (e.g., Google Workspace, Zoom, foreign institutions) and confirm transfer basis.</t>
  </si>
  <si>
    <t>CEN-DO-32</t>
  </si>
  <si>
    <t>Interview 3 staff on breach reporting; review incidents in Data Protection Office (DPO) &amp; Central Governance during the year and escalation timestamps.</t>
  </si>
  <si>
    <t>CEN-DO-33</t>
  </si>
  <si>
    <t>Compare training attendance to staff list of Data Protection Office (DPO) &amp; Central Governance; confirm basic privacy checklist is available.</t>
  </si>
  <si>
    <t>CEN-DO-34</t>
  </si>
  <si>
    <t>CEN-DO-35</t>
  </si>
  <si>
    <t>Review results of routine checks performed in Data Protection Office (DPO) &amp; Central Governance during the year.</t>
  </si>
  <si>
    <t>CEN-DO-36</t>
  </si>
  <si>
    <t>Confirm Data Protection Office (DPO) &amp; Central Governance submissions for H1 and H2 reports.</t>
  </si>
  <si>
    <t>CEN-DO-37</t>
  </si>
  <si>
    <t>Enquire about new tools adopted by Data Protection Office (DPO) &amp; Central Governance (incl. AI tools); inspect approvals/DPIAs.</t>
  </si>
  <si>
    <t>CEN-DO-38</t>
  </si>
  <si>
    <t>Review decisions based on personal data in Data Protection Office (DPO) &amp; Central Governance (e.g., selection, discipline) for fairness and transparency.</t>
  </si>
  <si>
    <t>CEN-DO-39</t>
  </si>
  <si>
    <t>Obtain prior-year findings for Data Protection Office (DPO) &amp; Central Governance; verify implementation of each agreed action.</t>
  </si>
  <si>
    <t>Bold teal CAR Areas = controls specific to this unit. Base controls are listed on the 'CAR Framework' tab.</t>
  </si>
  <si>
    <t>Compliance Audit Work Plan — Directorate of Information &amp; Communication Technology (DICT)</t>
  </si>
  <si>
    <t>Students, applicants, staff, alumni, website visitors</t>
  </si>
  <si>
    <t>Portal credentials, biodata, results, email, logs, biometrics</t>
  </si>
  <si>
    <t>Student portal, ERP/SIS, email, LMS hosting, data centre, cloud services</t>
  </si>
  <si>
    <t>DIR-ICT-01</t>
  </si>
  <si>
    <t>Walk through Directorate of Information &amp; Communication Technology (DICT)'s key processing (portal administration, account management, hosting and backups) and confirm each activity is captured in the ROPA with purpose, data categories, recipients and retention.</t>
  </si>
  <si>
    <t>DIR-ICT-02</t>
  </si>
  <si>
    <t>Inventory data held (Portal credentials, biodata, results, email, logs, biometrics); flag sensitive categories and confirm they are recorded as such.</t>
  </si>
  <si>
    <t>DIR-ICT-03</t>
  </si>
  <si>
    <t>DIR-ICT-04</t>
  </si>
  <si>
    <t>Identify Art. 18(1) activities in Directorate of Information &amp; Communication Technology (DICT); test consent capture, records and ease of withdrawal for a sample of 5.</t>
  </si>
  <si>
    <t>DIR-ICT-05</t>
  </si>
  <si>
    <t>Collect all forms/portals used by Directorate of Information &amp; Communication Technology (DICT); check each notice against Art. 27(3)(a)-(j).</t>
  </si>
  <si>
    <t>DIR-ICT-06</t>
  </si>
  <si>
    <t>Review fields on Directorate of Information &amp; Communication Technology (DICT) forms and systems (Student portal, ERP/SIS, email, LMS hosting, data centre, cloud services); identify excessive fields (e.g., religion, NIN, BVN) not justified by purpose.</t>
  </si>
  <si>
    <t>DIR-ICT-07</t>
  </si>
  <si>
    <t>DIR-ICT-08</t>
  </si>
  <si>
    <t>DIR-ICT-09</t>
  </si>
  <si>
    <t>Enquire about requests received by Directorate of Information &amp; Communication Technology (DICT); test log and escalation to DPO.</t>
  </si>
  <si>
    <t>DIR-ICT-10</t>
  </si>
  <si>
    <t>Inspect records rooms/cabinets; review user access list for Student portal, ERP/SIS, email, LMS hosting, data centre, cloud services and confirm leavers are removed.</t>
  </si>
  <si>
    <t>DIR-ICT-11</t>
  </si>
  <si>
    <t>DIR-ICT-12</t>
  </si>
  <si>
    <t>Vendors/partners processing personal data for Directorate of Information &amp; Communication Technology (DICT) have Data Processing Agreements and were vetted.</t>
  </si>
  <si>
    <t>List third parties receiving data from Directorate of Information &amp; Communication Technology (DICT); inspect DPAs against Art. 34(2).</t>
  </si>
  <si>
    <t>DIR-ICT-13</t>
  </si>
  <si>
    <t>Assess whether Directorate of Information &amp; Communication Technology (DICT)'s processing triggers Art. 28(3); inspect DPIA and DPO sign-off.</t>
  </si>
  <si>
    <t>DIR-ICT-14</t>
  </si>
  <si>
    <t>Identify foreign tools/partners used by Directorate of Information &amp; Communication Technology (DICT) (e.g., Google Workspace, Zoom, foreign institutions) and confirm transfer basis.</t>
  </si>
  <si>
    <t>DIR-ICT-15</t>
  </si>
  <si>
    <t>Interview 3 staff on breach reporting; review incidents in Directorate of Information &amp; Communication Technology (DICT) during the year and escalation timestamps.</t>
  </si>
  <si>
    <t>DIR-ICT-16</t>
  </si>
  <si>
    <t>Compare training attendance to staff list of Directorate of Information &amp; Communication Technology (DICT); confirm basic privacy checklist is available.</t>
  </si>
  <si>
    <t>DIR-ICT-17</t>
  </si>
  <si>
    <t>DIR-ICT-18</t>
  </si>
  <si>
    <t>Review results of routine checks performed in Directorate of Information &amp; Communication Technology (DICT) during the year.</t>
  </si>
  <si>
    <t>DIR-ICT-19</t>
  </si>
  <si>
    <t>Confirm Directorate of Information &amp; Communication Technology (DICT) submissions for H1 and H2 reports.</t>
  </si>
  <si>
    <t>DIR-ICT-20</t>
  </si>
  <si>
    <t>Enquire about new tools adopted by Directorate of Information &amp; Communication Technology (DICT) (incl. AI tools); inspect approvals/DPIAs.</t>
  </si>
  <si>
    <t>DIR-ICT-21</t>
  </si>
  <si>
    <t>Review decisions based on personal data in Directorate of Information &amp; Communication Technology (DICT) (e.g., selection, discipline) for fairness and transparency.</t>
  </si>
  <si>
    <t>DIR-ICT-22</t>
  </si>
  <si>
    <t>Obtain prior-year findings for Directorate of Information &amp; Communication Technology (DICT); verify implementation of each agreed action.</t>
  </si>
  <si>
    <t>DIR-ICT-23</t>
  </si>
  <si>
    <t>Online device audit frequency</t>
  </si>
  <si>
    <t>GAID Art. 10(5)</t>
  </si>
  <si>
    <t>Internet-facing systems holding personal data are audited as frequently as possible.</t>
  </si>
  <si>
    <t>Obtain inventory of internet-facing systems; confirm VAPT / security audit dates within the year.</t>
  </si>
  <si>
    <t>System inventory; VAPT reports</t>
  </si>
  <si>
    <t>DIR-ICT-24</t>
  </si>
  <si>
    <t>Vulnerability &amp; patching</t>
  </si>
  <si>
    <t>GAID Art. 29(2)(c),(d)</t>
  </si>
  <si>
    <t>Software updates and database vulnerability tests are performed per the MEM schedule.</t>
  </si>
  <si>
    <t>Sample 5 servers/databases; compare patch levels and scan dates against MEM schedule.</t>
  </si>
  <si>
    <t>Patch reports; scan results</t>
  </si>
  <si>
    <t>DIR-ICT-25</t>
  </si>
  <si>
    <t>Authentication &amp; encryption</t>
  </si>
  <si>
    <t>GAID Art. 29(2)(f),(g); NDPA s.39</t>
  </si>
  <si>
    <t>MFA for privileged and portal admin accounts; encryption at rest and in transit reviewed.</t>
  </si>
  <si>
    <t>Test MFA on admin accounts; inspect TLS configuration of portals and database encryption settings.</t>
  </si>
  <si>
    <t>MFA config; TLS scan; encryption review</t>
  </si>
  <si>
    <t>DIR-ICT-26</t>
  </si>
  <si>
    <t>Cloud &amp; hosting processors</t>
  </si>
  <si>
    <t>GAID Art. 34, 45</t>
  </si>
  <si>
    <t>Cloud/hosting providers have DPAs and lawful basis for any cross-border storage.</t>
  </si>
  <si>
    <t>List cloud services (email, storage, LMS); inspect DPAs and data location clauses.</t>
  </si>
  <si>
    <t>DPAs; hosting contracts</t>
  </si>
  <si>
    <t>DIR-ICT-27</t>
  </si>
  <si>
    <t>Backup &amp; availability</t>
  </si>
  <si>
    <t>GAID Art. 29; Sch. 1 (CIA)</t>
  </si>
  <si>
    <t>Backups are encrypted, tested for restoration and access-restricted.</t>
  </si>
  <si>
    <t>Review backup schedule and last restore test; confirm offsite copy protection.</t>
  </si>
  <si>
    <t>Backup logs; restore test report</t>
  </si>
  <si>
    <t>DIR-ICT-28</t>
  </si>
  <si>
    <t>Software deployment</t>
  </si>
  <si>
    <t>GAID Art. 31</t>
  </si>
  <si>
    <t>University apps/portals interacting with data subjects had DPIA, privacy by design and in-app privacy statement.</t>
  </si>
  <si>
    <t>For each app launched/updated in the year, inspect DPIA and pre-installation privacy statement per Art. 31(2)(e).</t>
  </si>
  <si>
    <t>App DPIAs; screenshots</t>
  </si>
  <si>
    <t>Compliance Audit Work Plan — Directorate of Academic Planning</t>
  </si>
  <si>
    <t>Students, staff</t>
  </si>
  <si>
    <t>Enrolment statistics, staff nominal roll, NUC returns</t>
  </si>
  <si>
    <t>NUC portal, planning databases, spreadsheets</t>
  </si>
  <si>
    <t>DIR-AP-01</t>
  </si>
  <si>
    <t>Walk through Directorate of Academic Planning's key processing (NUC/TETFund statistical returns, programme planning) and confirm each activity is captured in the ROPA with purpose, data categories, recipients and retention.</t>
  </si>
  <si>
    <t>DIR-AP-02</t>
  </si>
  <si>
    <t>Inventory data held (Enrolment statistics, staff nominal roll, NUC returns); flag sensitive categories and confirm they are recorded as such.</t>
  </si>
  <si>
    <t>DIR-AP-03</t>
  </si>
  <si>
    <t>DIR-AP-04</t>
  </si>
  <si>
    <t>Identify Art. 18(1) activities in Directorate of Academic Planning; test consent capture, records and ease of withdrawal for a sample of 5.</t>
  </si>
  <si>
    <t>DIR-AP-05</t>
  </si>
  <si>
    <t>Collect all forms/portals used by Directorate of Academic Planning; check each notice against Art. 27(3)(a)-(j).</t>
  </si>
  <si>
    <t>DIR-AP-06</t>
  </si>
  <si>
    <t>Review fields on Directorate of Academic Planning forms and systems (NUC portal, planning databases, spreadsheets); identify excessive fields (e.g., religion, NIN, BVN) not justified by purpose.</t>
  </si>
  <si>
    <t>DIR-AP-07</t>
  </si>
  <si>
    <t>DIR-AP-08</t>
  </si>
  <si>
    <t>DIR-AP-09</t>
  </si>
  <si>
    <t>Enquire about requests received by Directorate of Academic Planning; test log and escalation to DPO.</t>
  </si>
  <si>
    <t>DIR-AP-10</t>
  </si>
  <si>
    <t>Inspect records rooms/cabinets; review user access list for NUC portal, planning databases, spreadsheets and confirm leavers are removed.</t>
  </si>
  <si>
    <t>DIR-AP-11</t>
  </si>
  <si>
    <t>DIR-AP-12</t>
  </si>
  <si>
    <t>Vendors/partners processing personal data for Directorate of Academic Planning have Data Processing Agreements and were vetted.</t>
  </si>
  <si>
    <t>List third parties receiving data from Directorate of Academic Planning; inspect DPAs against Art. 34(2).</t>
  </si>
  <si>
    <t>DIR-AP-13</t>
  </si>
  <si>
    <t>Assess whether Directorate of Academic Planning's processing triggers Art. 28(3); inspect DPIA and DPO sign-off.</t>
  </si>
  <si>
    <t>DIR-AP-14</t>
  </si>
  <si>
    <t>Identify foreign tools/partners used by Directorate of Academic Planning (e.g., Google Workspace, Zoom, foreign institutions) and confirm transfer basis.</t>
  </si>
  <si>
    <t>DIR-AP-15</t>
  </si>
  <si>
    <t>Interview 3 staff on breach reporting; review incidents in Directorate of Academic Planning during the year and escalation timestamps.</t>
  </si>
  <si>
    <t>DIR-AP-16</t>
  </si>
  <si>
    <t>Compare training attendance to staff list of Directorate of Academic Planning; confirm basic privacy checklist is available.</t>
  </si>
  <si>
    <t>DIR-AP-17</t>
  </si>
  <si>
    <t>DIR-AP-18</t>
  </si>
  <si>
    <t>Review results of routine checks performed in Directorate of Academic Planning during the year.</t>
  </si>
  <si>
    <t>DIR-AP-19</t>
  </si>
  <si>
    <t>Confirm Directorate of Academic Planning submissions for H1 and H2 reports.</t>
  </si>
  <si>
    <t>DIR-AP-20</t>
  </si>
  <si>
    <t>Enquire about new tools adopted by Directorate of Academic Planning (incl. AI tools); inspect approvals/DPIAs.</t>
  </si>
  <si>
    <t>DIR-AP-21</t>
  </si>
  <si>
    <t>Review decisions based on personal data in Directorate of Academic Planning (e.g., selection, discipline) for fairness and transparency.</t>
  </si>
  <si>
    <t>DIR-AP-22</t>
  </si>
  <si>
    <t>Obtain prior-year findings for Directorate of Academic Planning; verify implementation of each agreed action.</t>
  </si>
  <si>
    <t>DIR-AP-23</t>
  </si>
  <si>
    <t>Anonymisation of statistics</t>
  </si>
  <si>
    <t>GAID Art. 35(6)(a); NDPA s.24(1)(c)</t>
  </si>
  <si>
    <t>Statistical returns to NUC, TETFund and rankings bodies use aggregated or anonymised data where identities are not required.</t>
  </si>
  <si>
    <t>Sample 3 external returns; confirm personal identifiers are removed or justified by legal obligation.</t>
  </si>
  <si>
    <t>Returns submitted; data extracts</t>
  </si>
  <si>
    <t>DIR-AP-24</t>
  </si>
  <si>
    <t>Legal obligation reliance</t>
  </si>
  <si>
    <t>GAID Art. 22</t>
  </si>
  <si>
    <t>Disclosures to regulators rest on a documented legal obligation limited to the minimum required.</t>
  </si>
  <si>
    <t>Review requests from NUC/JAMB/TETFund; confirm DPO opinion or legal basis on file.</t>
  </si>
  <si>
    <t>Request letters; DPO opinion</t>
  </si>
  <si>
    <t>Compliance Audit Work Plan — Directorate of Quality Assurance</t>
  </si>
  <si>
    <t>Students, lecturers</t>
  </si>
  <si>
    <t>Course evaluation responses, staff appraisal inputs, accreditation files</t>
  </si>
  <si>
    <t>Survey tools (online forms), accreditation portal</t>
  </si>
  <si>
    <t>DIR-QA-01</t>
  </si>
  <si>
    <t>Walk through Directorate of Quality Assurance's key processing (student evaluation of teaching, accreditation preparation) and confirm each activity is captured in the ROPA with purpose, data categories, recipients and retention.</t>
  </si>
  <si>
    <t>DIR-QA-02</t>
  </si>
  <si>
    <t>Inventory data held (Course evaluation responses, staff appraisal inputs, accreditation files); flag sensitive categories and confirm they are recorded as such.</t>
  </si>
  <si>
    <t>DIR-QA-03</t>
  </si>
  <si>
    <t>DIR-QA-04</t>
  </si>
  <si>
    <t>Identify Art. 18(1) activities in Directorate of Quality Assurance; test consent capture, records and ease of withdrawal for a sample of 5.</t>
  </si>
  <si>
    <t>DIR-QA-05</t>
  </si>
  <si>
    <t>Collect all forms/portals used by Directorate of Quality Assurance; check each notice against Art. 27(3)(a)-(j).</t>
  </si>
  <si>
    <t>DIR-QA-06</t>
  </si>
  <si>
    <t>Review fields on Directorate of Quality Assurance forms and systems (Survey tools (online forms), accreditation portal); identify excessive fields (e.g., religion, NIN, BVN) not justified by purpose.</t>
  </si>
  <si>
    <t>DIR-QA-07</t>
  </si>
  <si>
    <t>DIR-QA-08</t>
  </si>
  <si>
    <t>DIR-QA-09</t>
  </si>
  <si>
    <t>Enquire about requests received by Directorate of Quality Assurance; test log and escalation to DPO.</t>
  </si>
  <si>
    <t>DIR-QA-10</t>
  </si>
  <si>
    <t>Inspect records rooms/cabinets; review user access list for Survey tools (online forms), accreditation portal and confirm leavers are removed.</t>
  </si>
  <si>
    <t>DIR-QA-11</t>
  </si>
  <si>
    <t>DIR-QA-12</t>
  </si>
  <si>
    <t>Vendors/partners processing personal data for Directorate of Quality Assurance have Data Processing Agreements and were vetted.</t>
  </si>
  <si>
    <t>List third parties receiving data from Directorate of Quality Assurance; inspect DPAs against Art. 34(2).</t>
  </si>
  <si>
    <t>DIR-QA-13</t>
  </si>
  <si>
    <t>Assess whether Directorate of Quality Assurance's processing triggers Art. 28(3); inspect DPIA and DPO sign-off.</t>
  </si>
  <si>
    <t>DIR-QA-14</t>
  </si>
  <si>
    <t>Identify foreign tools/partners used by Directorate of Quality Assurance (e.g., Google Workspace, Zoom, foreign institutions) and confirm transfer basis.</t>
  </si>
  <si>
    <t>DIR-QA-15</t>
  </si>
  <si>
    <t>Interview 3 staff on breach reporting; review incidents in Directorate of Quality Assurance during the year and escalation timestamps.</t>
  </si>
  <si>
    <t>DIR-QA-16</t>
  </si>
  <si>
    <t>Compare training attendance to staff list of Directorate of Quality Assurance; confirm basic privacy checklist is available.</t>
  </si>
  <si>
    <t>DIR-QA-17</t>
  </si>
  <si>
    <t>DIR-QA-18</t>
  </si>
  <si>
    <t>Review results of routine checks performed in Directorate of Quality Assurance during the year.</t>
  </si>
  <si>
    <t>DIR-QA-19</t>
  </si>
  <si>
    <t>Confirm Directorate of Quality Assurance submissions for H1 and H2 reports.</t>
  </si>
  <si>
    <t>DIR-QA-20</t>
  </si>
  <si>
    <t>Enquire about new tools adopted by Directorate of Quality Assurance (incl. AI tools); inspect approvals/DPIAs.</t>
  </si>
  <si>
    <t>DIR-QA-21</t>
  </si>
  <si>
    <t>Review decisions based on personal data in Directorate of Quality Assurance (e.g., selection, discipline) for fairness and transparency.</t>
  </si>
  <si>
    <t>DIR-QA-22</t>
  </si>
  <si>
    <t>Obtain prior-year findings for Directorate of Quality Assurance; verify implementation of each agreed action.</t>
  </si>
  <si>
    <t>DIR-QA-23</t>
  </si>
  <si>
    <t>Survey tools</t>
  </si>
  <si>
    <t>GAID Art. 34, 45; Art. 19</t>
  </si>
  <si>
    <t>Online survey tools (e.g., Google Forms, SurveyMonkey) have DPAs and transfer safeguards; anonymity promised is honoured.</t>
  </si>
  <si>
    <t>Inspect survey settings (email collection off where anonymous), tool terms and data location.</t>
  </si>
  <si>
    <t>Survey settings screenshots; tool terms</t>
  </si>
  <si>
    <t>DIR-QA-24</t>
  </si>
  <si>
    <t>Use of evaluations</t>
  </si>
  <si>
    <t>GAID Art. 41, 42(5)</t>
  </si>
  <si>
    <t>Evaluation results used against staff are fair, accurate and not solely automated.</t>
  </si>
  <si>
    <t>Review how evaluation scores feed appraisal/promotion; confirm human review.</t>
  </si>
  <si>
    <t>QA procedure; appraisal guidelines</t>
  </si>
  <si>
    <t>Compliance Audit Work Plan — Directorate of Physical Planning &amp; Works</t>
  </si>
  <si>
    <t>Contractors, artisans, staff housing occupants</t>
  </si>
  <si>
    <t>Contractor IDs, staff quarters allocation, maintenance requests</t>
  </si>
  <si>
    <t>Works request system, access registers</t>
  </si>
  <si>
    <t>DIR-PP-01</t>
  </si>
  <si>
    <t>Walk through Directorate of Physical Planning &amp; Works's key processing (staff housing allocation, contractor management, maintenance requests) and confirm each activity is captured in the ROPA with purpose, data categories, recipients and retention.</t>
  </si>
  <si>
    <t>DIR-PP-02</t>
  </si>
  <si>
    <t>Inventory data held (Contractor IDs, staff quarters allocation, maintenance requests); flag sensitive categories and confirm they are recorded as such.</t>
  </si>
  <si>
    <t>DIR-PP-03</t>
  </si>
  <si>
    <t>DIR-PP-04</t>
  </si>
  <si>
    <t>Identify Art. 18(1) activities in Directorate of Physical Planning &amp; Works; test consent capture, records and ease of withdrawal for a sample of 5.</t>
  </si>
  <si>
    <t>DIR-PP-05</t>
  </si>
  <si>
    <t>Collect all forms/portals used by Directorate of Physical Planning &amp; Works; check each notice against Art. 27(3)(a)-(j).</t>
  </si>
  <si>
    <t>DIR-PP-06</t>
  </si>
  <si>
    <t>Review fields on Directorate of Physical Planning &amp; Works forms and systems (Works request system, access registers); identify excessive fields (e.g., religion, NIN, BVN) not justified by purpose.</t>
  </si>
  <si>
    <t>DIR-PP-07</t>
  </si>
  <si>
    <t>DIR-PP-08</t>
  </si>
  <si>
    <t>DIR-PP-09</t>
  </si>
  <si>
    <t>Enquire about requests received by Directorate of Physical Planning &amp; Works; test log and escalation to DPO.</t>
  </si>
  <si>
    <t>DIR-PP-10</t>
  </si>
  <si>
    <t>Inspect records rooms/cabinets; review user access list for Works request system, access registers and confirm leavers are removed.</t>
  </si>
  <si>
    <t>DIR-PP-11</t>
  </si>
  <si>
    <t>DIR-PP-12</t>
  </si>
  <si>
    <t>Vendors/partners processing personal data for Directorate of Physical Planning &amp; Works have Data Processing Agreements and were vetted.</t>
  </si>
  <si>
    <t>List third parties receiving data from Directorate of Physical Planning &amp; Works; inspect DPAs against Art. 34(2).</t>
  </si>
  <si>
    <t>DIR-PP-13</t>
  </si>
  <si>
    <t>Assess whether Directorate of Physical Planning &amp; Works's processing triggers Art. 28(3); inspect DPIA and DPO sign-off.</t>
  </si>
  <si>
    <t>DIR-PP-14</t>
  </si>
  <si>
    <t>Identify foreign tools/partners used by Directorate of Physical Planning &amp; Works (e.g., Google Workspace, Zoom, foreign institutions) and confirm transfer basis.</t>
  </si>
  <si>
    <t>DIR-PP-15</t>
  </si>
  <si>
    <t>Interview 3 staff on breach reporting; review incidents in Directorate of Physical Planning &amp; Works during the year and escalation timestamps.</t>
  </si>
  <si>
    <t>DIR-PP-16</t>
  </si>
  <si>
    <t>Compare training attendance to staff list of Directorate of Physical Planning &amp; Works; confirm basic privacy checklist is available.</t>
  </si>
  <si>
    <t>DIR-PP-17</t>
  </si>
  <si>
    <t>DIR-PP-18</t>
  </si>
  <si>
    <t>Review results of routine checks performed in Directorate of Physical Planning &amp; Works during the year.</t>
  </si>
  <si>
    <t>DIR-PP-19</t>
  </si>
  <si>
    <t>Confirm Directorate of Physical Planning &amp; Works submissions for H1 and H2 reports.</t>
  </si>
  <si>
    <t>DIR-PP-20</t>
  </si>
  <si>
    <t>Enquire about new tools adopted by Directorate of Physical Planning &amp; Works (incl. AI tools); inspect approvals/DPIAs.</t>
  </si>
  <si>
    <t>DIR-PP-21</t>
  </si>
  <si>
    <t>Review decisions based on personal data in Directorate of Physical Planning &amp; Works (e.g., selection, discipline) for fairness and transparency.</t>
  </si>
  <si>
    <t>DIR-PP-22</t>
  </si>
  <si>
    <t>Obtain prior-year findings for Directorate of Physical Planning &amp; Works; verify implementation of each agreed action.</t>
  </si>
  <si>
    <t>DIR-PP-23</t>
  </si>
  <si>
    <t>Contractor data &amp; site access</t>
  </si>
  <si>
    <t>GAID Art. 34(3),(4)</t>
  </si>
  <si>
    <t>Contractors/artisans handling university premises data are bound by confidentiality and trained where high risk.</t>
  </si>
  <si>
    <t>Sample contractor contracts for confidentiality clauses; review site access registers retention.</t>
  </si>
  <si>
    <t>Contracts; access registers</t>
  </si>
  <si>
    <t>Compliance Audit Work Plan — Directorate of Health Services (University Health Centre)</t>
  </si>
  <si>
    <t>Students, staff, dependants, patients</t>
  </si>
  <si>
    <t>Medical records, diagnoses, test results, health insurance (NHIA/TISHIP) data, counselling notes</t>
  </si>
  <si>
    <t>Electronic Medical Records, NHIA portal, lab system</t>
  </si>
  <si>
    <t>DIR-HS-01</t>
  </si>
  <si>
    <t>Walk through Directorate of Health Services (University Health Centre)'s key processing (patient registration, consultation, pharmacy, lab tests, health insurance claims, medical fitness certification) and confirm each activity is captured in the ROPA with purpose, data categories, recipients and retention.</t>
  </si>
  <si>
    <t>DIR-HS-02</t>
  </si>
  <si>
    <t>Inventory data held (Medical records, diagnoses, test results, health insurance (NHIA/TISHIP) data, counselling notes); flag sensitive categories and confirm they are recorded as such.</t>
  </si>
  <si>
    <t>DIR-HS-03</t>
  </si>
  <si>
    <t>DIR-HS-04</t>
  </si>
  <si>
    <t>Identify Art. 18(1) activities in Directorate of Health Services (University Health Centre); test consent capture, records and ease of withdrawal for a sample of 5.</t>
  </si>
  <si>
    <t>DIR-HS-05</t>
  </si>
  <si>
    <t>Collect all forms/portals used by Directorate of Health Services (University Health Centre); check each notice against Art. 27(3)(a)-(j).</t>
  </si>
  <si>
    <t>DIR-HS-06</t>
  </si>
  <si>
    <t>Review fields on Directorate of Health Services (University Health Centre) forms and systems (Electronic Medical Records, NHIA portal, lab system); identify excessive fields (e.g., religion, NIN, BVN) not justified by purpose.</t>
  </si>
  <si>
    <t>DIR-HS-07</t>
  </si>
  <si>
    <t>DIR-HS-08</t>
  </si>
  <si>
    <t>DIR-HS-09</t>
  </si>
  <si>
    <t>Enquire about requests received by Directorate of Health Services (University Health Centre); test log and escalation to DPO.</t>
  </si>
  <si>
    <t>DIR-HS-10</t>
  </si>
  <si>
    <t>Inspect records rooms/cabinets; review user access list for Electronic Medical Records, NHIA portal, lab system and confirm leavers are removed.</t>
  </si>
  <si>
    <t>DIR-HS-11</t>
  </si>
  <si>
    <t>DIR-HS-12</t>
  </si>
  <si>
    <t>Vendors/partners processing personal data for Directorate of Health Services (University Health Centre) have Data Processing Agreements and were vetted.</t>
  </si>
  <si>
    <t>List third parties receiving data from Directorate of Health Services (University Health Centre); inspect DPAs against Art. 34(2).</t>
  </si>
  <si>
    <t>DIR-HS-13</t>
  </si>
  <si>
    <t>Assess whether Directorate of Health Services (University Health Centre)'s processing triggers Art. 28(3); inspect DPIA and DPO sign-off.</t>
  </si>
  <si>
    <t>DIR-HS-14</t>
  </si>
  <si>
    <t>Identify foreign tools/partners used by Directorate of Health Services (University Health Centre) (e.g., Google Workspace, Zoom, foreign institutions) and confirm transfer basis.</t>
  </si>
  <si>
    <t>DIR-HS-15</t>
  </si>
  <si>
    <t>Interview 3 staff on breach reporting; review incidents in Directorate of Health Services (University Health Centre) during the year and escalation timestamps.</t>
  </si>
  <si>
    <t>DIR-HS-16</t>
  </si>
  <si>
    <t>Compare training attendance to staff list of Directorate of Health Services (University Health Centre); confirm basic privacy checklist is available.</t>
  </si>
  <si>
    <t>DIR-HS-17</t>
  </si>
  <si>
    <t>DIR-HS-18</t>
  </si>
  <si>
    <t>Review results of routine checks performed in Directorate of Health Services (University Health Centre) during the year.</t>
  </si>
  <si>
    <t>DIR-HS-19</t>
  </si>
  <si>
    <t>Confirm Directorate of Health Services (University Health Centre) submissions for H1 and H2 reports.</t>
  </si>
  <si>
    <t>DIR-HS-20</t>
  </si>
  <si>
    <t>Enquire about new tools adopted by Directorate of Health Services (University Health Centre) (incl. AI tools); inspect approvals/DPIAs.</t>
  </si>
  <si>
    <t>DIR-HS-21</t>
  </si>
  <si>
    <t>Review decisions based on personal data in Directorate of Health Services (University Health Centre) (e.g., selection, discipline) for fairness and transparency.</t>
  </si>
  <si>
    <t>DIR-HS-22</t>
  </si>
  <si>
    <t>Obtain prior-year findings for Directorate of Health Services (University Health Centre); verify implementation of each agreed action.</t>
  </si>
  <si>
    <t>DIR-HS-23</t>
  </si>
  <si>
    <t>Sensitive health data</t>
  </si>
  <si>
    <t>NDPA s.30; GAID Art. 18(1)(b)</t>
  </si>
  <si>
    <t>Processing of health data has an Art. 30 condition and explicit consent where required.</t>
  </si>
  <si>
    <t>Review patient registration forms and consent for treatment/data use; test 10 files.</t>
  </si>
  <si>
    <t>Consent forms; patient files</t>
  </si>
  <si>
    <t>DIR-HS-24</t>
  </si>
  <si>
    <t>Health care DPIA</t>
  </si>
  <si>
    <t>GAID Art. 28(3)(i)</t>
  </si>
  <si>
    <t>DPIA for health care services is completed, signed by a certified DPO and filed with NDPC.</t>
  </si>
  <si>
    <t>Inspect DPIA and NDPC filing evidence.</t>
  </si>
  <si>
    <t>DPIA; filing evidence</t>
  </si>
  <si>
    <t>DIR-HS-25</t>
  </si>
  <si>
    <t>Medical confidentiality</t>
  </si>
  <si>
    <t>GAID Art. 38(2)(b)(iv); NDPA s.39</t>
  </si>
  <si>
    <t>Medical records accessible only to clinicians on need-to-know basis; fitness reports to faculties disclose only outcome.</t>
  </si>
  <si>
    <t>Test EMR role permissions and review medical fitness reports sent to admissions/sports.</t>
  </si>
  <si>
    <t>EMR access list; sample reports</t>
  </si>
  <si>
    <t>DIR-HS-26</t>
  </si>
  <si>
    <t>Insurance processors</t>
  </si>
  <si>
    <t>GAID Art. 34</t>
  </si>
  <si>
    <t>DPAs in place with HMOs/NHIA and lab partners.</t>
  </si>
  <si>
    <t>Inspect agreements with HMOs and external labs for Art. 34(2) clauses.</t>
  </si>
  <si>
    <t>HMO agreements</t>
  </si>
  <si>
    <t>Compliance Audit Work Plan — Directorate of Security Services</t>
  </si>
  <si>
    <t>Students, staff, visitors, suspects/complainants</t>
  </si>
  <si>
    <t>CCTV footage, visitor logs, incident reports, ID cards, vehicle registration</t>
  </si>
  <si>
    <t>CCTV/NVR, visitor register, access control / biometric gates</t>
  </si>
  <si>
    <t>DIR-SS-01</t>
  </si>
  <si>
    <t>Walk through Directorate of Security Services's key processing (CCTV surveillance, visitor management, investigations, gate access control) and confirm each activity is captured in the ROPA with purpose, data categories, recipients and retention.</t>
  </si>
  <si>
    <t>DIR-SS-02</t>
  </si>
  <si>
    <t>Inventory data held (CCTV footage, visitor logs, incident reports, ID cards, vehicle registration); flag sensitive categories and confirm they are recorded as such.</t>
  </si>
  <si>
    <t>DIR-SS-03</t>
  </si>
  <si>
    <t>DIR-SS-04</t>
  </si>
  <si>
    <t>Identify Art. 18(1) activities in Directorate of Security Services; test consent capture, records and ease of withdrawal for a sample of 5.</t>
  </si>
  <si>
    <t>DIR-SS-05</t>
  </si>
  <si>
    <t>Collect all forms/portals used by Directorate of Security Services; check each notice against Art. 27(3)(a)-(j).</t>
  </si>
  <si>
    <t>DIR-SS-06</t>
  </si>
  <si>
    <t>Review fields on Directorate of Security Services forms and systems (CCTV/NVR, visitor register, access control / biometric gates); identify excessive fields (e.g., religion, NIN, BVN) not justified by purpose.</t>
  </si>
  <si>
    <t>DIR-SS-07</t>
  </si>
  <si>
    <t>DIR-SS-08</t>
  </si>
  <si>
    <t>DIR-SS-09</t>
  </si>
  <si>
    <t>Enquire about requests received by Directorate of Security Services; test log and escalation to DPO.</t>
  </si>
  <si>
    <t>DIR-SS-10</t>
  </si>
  <si>
    <t>Inspect records rooms/cabinets; review user access list for CCTV/NVR, visitor register, access control / biometric gates and confirm leavers are removed.</t>
  </si>
  <si>
    <t>DIR-SS-11</t>
  </si>
  <si>
    <t>DIR-SS-12</t>
  </si>
  <si>
    <t>Vendors/partners processing personal data for Directorate of Security Services have Data Processing Agreements and were vetted.</t>
  </si>
  <si>
    <t>List third parties receiving data from Directorate of Security Services; inspect DPAs against Art. 34(2).</t>
  </si>
  <si>
    <t>DIR-SS-13</t>
  </si>
  <si>
    <t>Assess whether Directorate of Security Services's processing triggers Art. 28(3); inspect DPIA and DPO sign-off.</t>
  </si>
  <si>
    <t>DIR-SS-14</t>
  </si>
  <si>
    <t>Identify foreign tools/partners used by Directorate of Security Services (e.g., Google Workspace, Zoom, foreign institutions) and confirm transfer basis.</t>
  </si>
  <si>
    <t>DIR-SS-15</t>
  </si>
  <si>
    <t>Interview 3 staff on breach reporting; review incidents in Directorate of Security Services during the year and escalation timestamps.</t>
  </si>
  <si>
    <t>DIR-SS-16</t>
  </si>
  <si>
    <t>Compare training attendance to staff list of Directorate of Security Services; confirm basic privacy checklist is available.</t>
  </si>
  <si>
    <t>DIR-SS-17</t>
  </si>
  <si>
    <t>DIR-SS-18</t>
  </si>
  <si>
    <t>Review results of routine checks performed in Directorate of Security Services during the year.</t>
  </si>
  <si>
    <t>DIR-SS-19</t>
  </si>
  <si>
    <t>Confirm Directorate of Security Services submissions for H1 and H2 reports.</t>
  </si>
  <si>
    <t>DIR-SS-20</t>
  </si>
  <si>
    <t>Enquire about new tools adopted by Directorate of Security Services (incl. AI tools); inspect approvals/DPIAs.</t>
  </si>
  <si>
    <t>DIR-SS-21</t>
  </si>
  <si>
    <t>Review decisions based on personal data in Directorate of Security Services (e.g., selection, discipline) for fairness and transparency.</t>
  </si>
  <si>
    <t>DIR-SS-22</t>
  </si>
  <si>
    <t>Obtain prior-year findings for Directorate of Security Services; verify implementation of each agreed action.</t>
  </si>
  <si>
    <t>DIR-SS-23</t>
  </si>
  <si>
    <t>CCTV DPIA &amp; signage</t>
  </si>
  <si>
    <t>GAID Art. 28(3)(k)</t>
  </si>
  <si>
    <t>DPIA completed for CCTV in publicly accessible areas; signage displayed; no cameras in private areas.</t>
  </si>
  <si>
    <t>Inspect CCTV DPIA; physically check 5 camera locations for signage and intrusiveness.</t>
  </si>
  <si>
    <t>CCTV DPIA; site photos</t>
  </si>
  <si>
    <t>DIR-SS-24</t>
  </si>
  <si>
    <t>Footage retention &amp; release</t>
  </si>
  <si>
    <t>GAID Art. 49(3); Art. 22</t>
  </si>
  <si>
    <t>CCTV retention period defined; footage released to police only on valid legal request, logged.</t>
  </si>
  <si>
    <t>Review NVR retention settings and footage release log against written requests.</t>
  </si>
  <si>
    <t>NVR settings; release log</t>
  </si>
  <si>
    <t>DIR-SS-25</t>
  </si>
  <si>
    <t>Criminal/incident records</t>
  </si>
  <si>
    <t>NDPA s.30; GAID Art. 41</t>
  </si>
  <si>
    <t>Incident and disciplinary investigation reports secured and shared only with authorised panels.</t>
  </si>
  <si>
    <t>Inspect storage of investigation files; test access restrictions.</t>
  </si>
  <si>
    <t>Incident files; access list</t>
  </si>
  <si>
    <t>DIR-SS-26</t>
  </si>
  <si>
    <t>Biometric access</t>
  </si>
  <si>
    <t>GAID Art. 18(1)(b), 28(3)(d)</t>
  </si>
  <si>
    <t>Biometric gate/attendance data has lawful basis, DPIA and security controls.</t>
  </si>
  <si>
    <t>Confirm biometric systems in use, DPIA, vendor DPA and template storage protection.</t>
  </si>
  <si>
    <t>Biometric system DPIA; vendor DPA</t>
  </si>
  <si>
    <t>Compliance Audit Work Plan — Directorate of Research, Innovation &amp; Development</t>
  </si>
  <si>
    <t>Researchers, research participants, grant applicants</t>
  </si>
  <si>
    <t>Research proposals, participant data, grant applicant biodata</t>
  </si>
  <si>
    <t>Grant management system, ethics committee files</t>
  </si>
  <si>
    <t>DIR-RD-01</t>
  </si>
  <si>
    <t>Walk through Directorate of Research, Innovation &amp; Development's key processing (TETFund/IBR grants, research ethics review, IP and innovation) and confirm each activity is captured in the ROPA with purpose, data categories, recipients and retention.</t>
  </si>
  <si>
    <t>DIR-RD-02</t>
  </si>
  <si>
    <t>Inventory data held (Research proposals, participant data, grant applicant biodata); flag sensitive categories and confirm they are recorded as such.</t>
  </si>
  <si>
    <t>DIR-RD-03</t>
  </si>
  <si>
    <t>DIR-RD-04</t>
  </si>
  <si>
    <t>Identify Art. 18(1) activities in Directorate of Research, Innovation &amp; Development; test consent capture, records and ease of withdrawal for a sample of 5.</t>
  </si>
  <si>
    <t>DIR-RD-05</t>
  </si>
  <si>
    <t>Collect all forms/portals used by Directorate of Research, Innovation &amp; Development; check each notice against Art. 27(3)(a)-(j).</t>
  </si>
  <si>
    <t>DIR-RD-06</t>
  </si>
  <si>
    <t>Review fields on Directorate of Research, Innovation &amp; Development forms and systems (Grant management system, ethics committee files); identify excessive fields (e.g., religion, NIN, BVN) not justified by purpose.</t>
  </si>
  <si>
    <t>DIR-RD-07</t>
  </si>
  <si>
    <t>DIR-RD-08</t>
  </si>
  <si>
    <t>DIR-RD-09</t>
  </si>
  <si>
    <t>Enquire about requests received by Directorate of Research, Innovation &amp; Development; test log and escalation to DPO.</t>
  </si>
  <si>
    <t>DIR-RD-10</t>
  </si>
  <si>
    <t>Inspect records rooms/cabinets; review user access list for Grant management system, ethics committee files and confirm leavers are removed.</t>
  </si>
  <si>
    <t>DIR-RD-11</t>
  </si>
  <si>
    <t>DIR-RD-12</t>
  </si>
  <si>
    <t>Vendors/partners processing personal data for Directorate of Research, Innovation &amp; Development have Data Processing Agreements and were vetted.</t>
  </si>
  <si>
    <t>List third parties receiving data from Directorate of Research, Innovation &amp; Development; inspect DPAs against Art. 34(2).</t>
  </si>
  <si>
    <t>DIR-RD-13</t>
  </si>
  <si>
    <t>Assess whether Directorate of Research, Innovation &amp; Development's processing triggers Art. 28(3); inspect DPIA and DPO sign-off.</t>
  </si>
  <si>
    <t>DIR-RD-14</t>
  </si>
  <si>
    <t>Identify foreign tools/partners used by Directorate of Research, Innovation &amp; Development (e.g., Google Workspace, Zoom, foreign institutions) and confirm transfer basis.</t>
  </si>
  <si>
    <t>DIR-RD-15</t>
  </si>
  <si>
    <t>Interview 3 staff on breach reporting; review incidents in Directorate of Research, Innovation &amp; Development during the year and escalation timestamps.</t>
  </si>
  <si>
    <t>DIR-RD-16</t>
  </si>
  <si>
    <t>Compare training attendance to staff list of Directorate of Research, Innovation &amp; Development; confirm basic privacy checklist is available.</t>
  </si>
  <si>
    <t>DIR-RD-17</t>
  </si>
  <si>
    <t>DIR-RD-18</t>
  </si>
  <si>
    <t>Review results of routine checks performed in Directorate of Research, Innovation &amp; Development during the year.</t>
  </si>
  <si>
    <t>DIR-RD-19</t>
  </si>
  <si>
    <t>Confirm Directorate of Research, Innovation &amp; Development submissions for H1 and H2 reports.</t>
  </si>
  <si>
    <t>DIR-RD-20</t>
  </si>
  <si>
    <t>Enquire about new tools adopted by Directorate of Research, Innovation &amp; Development (incl. AI tools); inspect approvals/DPIAs.</t>
  </si>
  <si>
    <t>DIR-RD-21</t>
  </si>
  <si>
    <t>Review decisions based on personal data in Directorate of Research, Innovation &amp; Development (e.g., selection, discipline) for fairness and transparency.</t>
  </si>
  <si>
    <t>DIR-RD-22</t>
  </si>
  <si>
    <t>Obtain prior-year findings for Directorate of Research, Innovation &amp; Development; verify implementation of each agreed action.</t>
  </si>
  <si>
    <t>DIR-RD-23</t>
  </si>
  <si>
    <t>Research ethics &amp; DPIA</t>
  </si>
  <si>
    <t>GAID Art. 28, 41, 42</t>
  </si>
  <si>
    <t>Research ethics committee requires data protection review (consent, anonymisation, DPIA) for studies involving human participants.</t>
  </si>
  <si>
    <t>Review ethics application template and 5 approved protocols for data protection sections.</t>
  </si>
  <si>
    <t>Ethics template; approved protocols</t>
  </si>
  <si>
    <t>DIR-RD-24</t>
  </si>
  <si>
    <t>Research exemption use</t>
  </si>
  <si>
    <t>GAID Art. 5; Art. 38(2)(c)</t>
  </si>
  <si>
    <t>Reliance on research exemptions still complies with principles, lawful basis, DPO and breach obligations.</t>
  </si>
  <si>
    <t>Confirm research data management plans address s.24, s.25, s.40 obligations.</t>
  </si>
  <si>
    <t>Data management plans</t>
  </si>
  <si>
    <t>Compliance Audit Work Plan — Directorate of Linkages &amp; International Collaborations</t>
  </si>
  <si>
    <t>Exchange students, visiting scholars, foreign partners</t>
  </si>
  <si>
    <t>Passport details, visas, transcripts, travel records</t>
  </si>
  <si>
    <t>Partner portals, email</t>
  </si>
  <si>
    <t>DIR-LIN-01</t>
  </si>
  <si>
    <t>Walk through Directorate of Linkages &amp; International Collaborations's key processing (student/staff exchange, MoU partnerships, international admissions) and confirm each activity is captured in the ROPA with purpose, data categories, recipients and retention.</t>
  </si>
  <si>
    <t>DIR-LIN-02</t>
  </si>
  <si>
    <t>Inventory data held (Passport details, visas, transcripts, travel records); flag sensitive categories and confirm they are recorded as such.</t>
  </si>
  <si>
    <t>DIR-LIN-03</t>
  </si>
  <si>
    <t>DIR-LIN-04</t>
  </si>
  <si>
    <t>Identify Art. 18(1) activities in Directorate of Linkages &amp; International Collaborations; test consent capture, records and ease of withdrawal for a sample of 5.</t>
  </si>
  <si>
    <t>DIR-LIN-05</t>
  </si>
  <si>
    <t>Collect all forms/portals used by Directorate of Linkages &amp; International Collaborations; check each notice against Art. 27(3)(a)-(j).</t>
  </si>
  <si>
    <t>DIR-LIN-06</t>
  </si>
  <si>
    <t>Review fields on Directorate of Linkages &amp; International Collaborations forms and systems (Partner portals, email); identify excessive fields (e.g., religion, NIN, BVN) not justified by purpose.</t>
  </si>
  <si>
    <t>DIR-LIN-07</t>
  </si>
  <si>
    <t>DIR-LIN-08</t>
  </si>
  <si>
    <t>DIR-LIN-09</t>
  </si>
  <si>
    <t>Enquire about requests received by Directorate of Linkages &amp; International Collaborations; test log and escalation to DPO.</t>
  </si>
  <si>
    <t>DIR-LIN-10</t>
  </si>
  <si>
    <t>Inspect records rooms/cabinets; review user access list for Partner portals, email and confirm leavers are removed.</t>
  </si>
  <si>
    <t>DIR-LIN-11</t>
  </si>
  <si>
    <t>DIR-LIN-12</t>
  </si>
  <si>
    <t>Vendors/partners processing personal data for Directorate of Linkages &amp; International Collaborations have Data Processing Agreements and were vetted.</t>
  </si>
  <si>
    <t>List third parties receiving data from Directorate of Linkages &amp; International Collaborations; inspect DPAs against Art. 34(2).</t>
  </si>
  <si>
    <t>DIR-LIN-13</t>
  </si>
  <si>
    <t>Assess whether Directorate of Linkages &amp; International Collaborations's processing triggers Art. 28(3); inspect DPIA and DPO sign-off.</t>
  </si>
  <si>
    <t>DIR-LIN-14</t>
  </si>
  <si>
    <t>Identify foreign tools/partners used by Directorate of Linkages &amp; International Collaborations (e.g., Google Workspace, Zoom, foreign institutions) and confirm transfer basis.</t>
  </si>
  <si>
    <t>DIR-LIN-15</t>
  </si>
  <si>
    <t>Interview 3 staff on breach reporting; review incidents in Directorate of Linkages &amp; International Collaborations during the year and escalation timestamps.</t>
  </si>
  <si>
    <t>DIR-LIN-16</t>
  </si>
  <si>
    <t>Compare training attendance to staff list of Directorate of Linkages &amp; International Collaborations; confirm basic privacy checklist is available.</t>
  </si>
  <si>
    <t>DIR-LIN-17</t>
  </si>
  <si>
    <t>DIR-LIN-18</t>
  </si>
  <si>
    <t>Review results of routine checks performed in Directorate of Linkages &amp; International Collaborations during the year.</t>
  </si>
  <si>
    <t>DIR-LIN-19</t>
  </si>
  <si>
    <t>Confirm Directorate of Linkages &amp; International Collaborations submissions for H1 and H2 reports.</t>
  </si>
  <si>
    <t>DIR-LIN-20</t>
  </si>
  <si>
    <t>Enquire about new tools adopted by Directorate of Linkages &amp; International Collaborations (incl. AI tools); inspect approvals/DPIAs.</t>
  </si>
  <si>
    <t>DIR-LIN-21</t>
  </si>
  <si>
    <t>Review decisions based on personal data in Directorate of Linkages &amp; International Collaborations (e.g., selection, discipline) for fairness and transparency.</t>
  </si>
  <si>
    <t>DIR-LIN-22</t>
  </si>
  <si>
    <t>Obtain prior-year findings for Directorate of Linkages &amp; International Collaborations; verify implementation of each agreed action.</t>
  </si>
  <si>
    <t>DIR-LIN-23</t>
  </si>
  <si>
    <t>Transfers of student/staff data to foreign partners rely on adequacy, SCCs or consent with documented assessment.</t>
  </si>
  <si>
    <t>List partners receiving personal data; inspect transfer mechanism and Schedule 5 assessment for each.</t>
  </si>
  <si>
    <t>MoUs; SCCs; transfer assessments</t>
  </si>
  <si>
    <t>DIR-LIN-24</t>
  </si>
  <si>
    <t>Consent for transfer</t>
  </si>
  <si>
    <t>GAID Art. 18(1)(e)</t>
  </si>
  <si>
    <t>Consent is obtained where transfer is to a country without an NDPC adequacy decision.</t>
  </si>
  <si>
    <t>Sample 5 exchange participants; confirm informed consent covering transfer risks.</t>
  </si>
  <si>
    <t>Consent forms</t>
  </si>
  <si>
    <t>Compliance Audit Work Plan — Directorate of Student Affairs</t>
  </si>
  <si>
    <t>Students, parents/guardians, student union officials</t>
  </si>
  <si>
    <t>Hostel allocation, counselling notes, disciplinary records, scholarships, disability records</t>
  </si>
  <si>
    <t>Hostel portal, counselling files, SUG records</t>
  </si>
  <si>
    <t>DIR-SA-01</t>
  </si>
  <si>
    <t>Walk through Directorate of Student Affairs's key processing (hostel allocation, counselling, student discipline, scholarships and bursaries) and confirm each activity is captured in the ROPA with purpose, data categories, recipients and retention.</t>
  </si>
  <si>
    <t>DIR-SA-02</t>
  </si>
  <si>
    <t>Inventory data held (Hostel allocation, counselling notes, disciplinary records, scholarships, disability records); flag sensitive categories and confirm they are recorded as such.</t>
  </si>
  <si>
    <t>DIR-SA-03</t>
  </si>
  <si>
    <t>DIR-SA-04</t>
  </si>
  <si>
    <t>Identify Art. 18(1) activities in Directorate of Student Affairs; test consent capture, records and ease of withdrawal for a sample of 5.</t>
  </si>
  <si>
    <t>DIR-SA-05</t>
  </si>
  <si>
    <t>Collect all forms/portals used by Directorate of Student Affairs; check each notice against Art. 27(3)(a)-(j).</t>
  </si>
  <si>
    <t>DIR-SA-06</t>
  </si>
  <si>
    <t>Review fields on Directorate of Student Affairs forms and systems (Hostel portal, counselling files, SUG records); identify excessive fields (e.g., religion, NIN, BVN) not justified by purpose.</t>
  </si>
  <si>
    <t>DIR-SA-07</t>
  </si>
  <si>
    <t>DIR-SA-08</t>
  </si>
  <si>
    <t>DIR-SA-09</t>
  </si>
  <si>
    <t>Enquire about requests received by Directorate of Student Affairs; test log and escalation to DPO.</t>
  </si>
  <si>
    <t>DIR-SA-10</t>
  </si>
  <si>
    <t>Inspect records rooms/cabinets; review user access list for Hostel portal, counselling files, SUG records and confirm leavers are removed.</t>
  </si>
  <si>
    <t>DIR-SA-11</t>
  </si>
  <si>
    <t>DIR-SA-12</t>
  </si>
  <si>
    <t>Vendors/partners processing personal data for Directorate of Student Affairs have Data Processing Agreements and were vetted.</t>
  </si>
  <si>
    <t>List third parties receiving data from Directorate of Student Affairs; inspect DPAs against Art. 34(2).</t>
  </si>
  <si>
    <t>DIR-SA-13</t>
  </si>
  <si>
    <t>Assess whether Directorate of Student Affairs's processing triggers Art. 28(3); inspect DPIA and DPO sign-off.</t>
  </si>
  <si>
    <t>DIR-SA-14</t>
  </si>
  <si>
    <t>Identify foreign tools/partners used by Directorate of Student Affairs (e.g., Google Workspace, Zoom, foreign institutions) and confirm transfer basis.</t>
  </si>
  <si>
    <t>DIR-SA-15</t>
  </si>
  <si>
    <t>Interview 3 staff on breach reporting; review incidents in Directorate of Student Affairs during the year and escalation timestamps.</t>
  </si>
  <si>
    <t>DIR-SA-16</t>
  </si>
  <si>
    <t>Compare training attendance to staff list of Directorate of Student Affairs; confirm basic privacy checklist is available.</t>
  </si>
  <si>
    <t>DIR-SA-17</t>
  </si>
  <si>
    <t>DIR-SA-18</t>
  </si>
  <si>
    <t>Review results of routine checks performed in Directorate of Student Affairs during the year.</t>
  </si>
  <si>
    <t>DIR-SA-19</t>
  </si>
  <si>
    <t>Confirm Directorate of Student Affairs submissions for H1 and H2 reports.</t>
  </si>
  <si>
    <t>DIR-SA-20</t>
  </si>
  <si>
    <t>Enquire about new tools adopted by Directorate of Student Affairs (incl. AI tools); inspect approvals/DPIAs.</t>
  </si>
  <si>
    <t>DIR-SA-21</t>
  </si>
  <si>
    <t>Review decisions based on personal data in Directorate of Student Affairs (e.g., selection, discipline) for fairness and transparency.</t>
  </si>
  <si>
    <t>DIR-SA-22</t>
  </si>
  <si>
    <t>Obtain prior-year findings for Directorate of Student Affairs; verify implementation of each agreed action.</t>
  </si>
  <si>
    <t>DIR-SA-23</t>
  </si>
  <si>
    <t>Counselling &amp; welfare records</t>
  </si>
  <si>
    <t>Counselling and disability records are held separately under strict confidentiality with explicit consent.</t>
  </si>
  <si>
    <t>Inspect counselling record storage and consent forms; test access restrictions.</t>
  </si>
  <si>
    <t>Consent forms; storage inspection</t>
  </si>
  <si>
    <t>DIR-SA-24</t>
  </si>
  <si>
    <t>Minors in residence</t>
  </si>
  <si>
    <t>NDPA s.31; GAID Art. 18(1)(d)</t>
  </si>
  <si>
    <t>Parent/guardian consent obtained for processing of students under 18.</t>
  </si>
  <si>
    <t>Filter hostel records for students under 18; confirm guardian consent on file.</t>
  </si>
  <si>
    <t>Age report; guardian consent</t>
  </si>
  <si>
    <t>DIR-SA-25</t>
  </si>
  <si>
    <t>Disciplinary publication</t>
  </si>
  <si>
    <t>GAID Art. 41, 42(3)</t>
  </si>
  <si>
    <t>Publication of expulsion/rustication lists limits personal data to what is necessary.</t>
  </si>
  <si>
    <t>Review notices published in the year for excessive personal data.</t>
  </si>
  <si>
    <t>Published notices</t>
  </si>
  <si>
    <t>Compliance Audit Work Plan — Directorate of Advancement, Alumni &amp; Endowment</t>
  </si>
  <si>
    <t>Alumni, donors, prospective donors</t>
  </si>
  <si>
    <t>Contact details, employment, donation history, bank details</t>
  </si>
  <si>
    <t>Alumni database, CRM, bulk email/SMS tools</t>
  </si>
  <si>
    <t>DIR-ADV-01</t>
  </si>
  <si>
    <t>Walk through Directorate of Advancement, Alumni &amp; Endowment's key processing (alumni database, fundraising campaigns, newsletters) and confirm each activity is captured in the ROPA with purpose, data categories, recipients and retention.</t>
  </si>
  <si>
    <t>DIR-ADV-02</t>
  </si>
  <si>
    <t>Inventory data held (Contact details, employment, donation history, bank details); flag sensitive categories and confirm they are recorded as such.</t>
  </si>
  <si>
    <t>DIR-ADV-03</t>
  </si>
  <si>
    <t>DIR-ADV-04</t>
  </si>
  <si>
    <t>Identify Art. 18(1) activities in Directorate of Advancement, Alumni &amp; Endowment; test consent capture, records and ease of withdrawal for a sample of 5.</t>
  </si>
  <si>
    <t>DIR-ADV-05</t>
  </si>
  <si>
    <t>Collect all forms/portals used by Directorate of Advancement, Alumni &amp; Endowment; check each notice against Art. 27(3)(a)-(j).</t>
  </si>
  <si>
    <t>DIR-ADV-06</t>
  </si>
  <si>
    <t>Review fields on Directorate of Advancement, Alumni &amp; Endowment forms and systems (Alumni database, CRM, bulk email/SMS tools); identify excessive fields (e.g., religion, NIN, BVN) not justified by purpose.</t>
  </si>
  <si>
    <t>DIR-ADV-07</t>
  </si>
  <si>
    <t>DIR-ADV-08</t>
  </si>
  <si>
    <t>DIR-ADV-09</t>
  </si>
  <si>
    <t>Enquire about requests received by Directorate of Advancement, Alumni &amp; Endowment; test log and escalation to DPO.</t>
  </si>
  <si>
    <t>DIR-ADV-10</t>
  </si>
  <si>
    <t>Inspect records rooms/cabinets; review user access list for Alumni database, CRM, bulk email/SMS tools and confirm leavers are removed.</t>
  </si>
  <si>
    <t>DIR-ADV-11</t>
  </si>
  <si>
    <t>DIR-ADV-12</t>
  </si>
  <si>
    <t>Vendors/partners processing personal data for Directorate of Advancement, Alumni &amp; Endowment have Data Processing Agreements and were vetted.</t>
  </si>
  <si>
    <t>List third parties receiving data from Directorate of Advancement, Alumni &amp; Endowment; inspect DPAs against Art. 34(2).</t>
  </si>
  <si>
    <t>DIR-ADV-13</t>
  </si>
  <si>
    <t>Assess whether Directorate of Advancement, Alumni &amp; Endowment's processing triggers Art. 28(3); inspect DPIA and DPO sign-off.</t>
  </si>
  <si>
    <t>DIR-ADV-14</t>
  </si>
  <si>
    <t>Identify foreign tools/partners used by Directorate of Advancement, Alumni &amp; Endowment (e.g., Google Workspace, Zoom, foreign institutions) and confirm transfer basis.</t>
  </si>
  <si>
    <t>DIR-ADV-15</t>
  </si>
  <si>
    <t>Interview 3 staff on breach reporting; review incidents in Directorate of Advancement, Alumni &amp; Endowment during the year and escalation timestamps.</t>
  </si>
  <si>
    <t>DIR-ADV-16</t>
  </si>
  <si>
    <t>Compare training attendance to staff list of Directorate of Advancement, Alumni &amp; Endowment; confirm basic privacy checklist is available.</t>
  </si>
  <si>
    <t>DIR-ADV-17</t>
  </si>
  <si>
    <t>DIR-ADV-18</t>
  </si>
  <si>
    <t>Review results of routine checks performed in Directorate of Advancement, Alumni &amp; Endowment during the year.</t>
  </si>
  <si>
    <t>DIR-ADV-19</t>
  </si>
  <si>
    <t>Confirm Directorate of Advancement, Alumni &amp; Endowment submissions for H1 and H2 reports.</t>
  </si>
  <si>
    <t>DIR-ADV-20</t>
  </si>
  <si>
    <t>Enquire about new tools adopted by Directorate of Advancement, Alumni &amp; Endowment (incl. AI tools); inspect approvals/DPIAs.</t>
  </si>
  <si>
    <t>DIR-ADV-21</t>
  </si>
  <si>
    <t>Review decisions based on personal data in Directorate of Advancement, Alumni &amp; Endowment (e.g., selection, discipline) for fairness and transparency.</t>
  </si>
  <si>
    <t>DIR-ADV-22</t>
  </si>
  <si>
    <t>Obtain prior-year findings for Directorate of Advancement, Alumni &amp; Endowment; verify implementation of each agreed action.</t>
  </si>
  <si>
    <t>DIR-ADV-23</t>
  </si>
  <si>
    <t>Direct marketing consent</t>
  </si>
  <si>
    <t>GAID Art. 18(1)(a); NDPA s.36</t>
  </si>
  <si>
    <t>Fundraising and marketing messages are sent only with consent and include easy opt-out.</t>
  </si>
  <si>
    <t>Sample 3 campaigns; trace recipients to consent records and test unsubscribe.</t>
  </si>
  <si>
    <t>Consent records; campaign samples</t>
  </si>
  <si>
    <t>DIR-ADV-24</t>
  </si>
  <si>
    <t>Bulk messaging processors</t>
  </si>
  <si>
    <t>Bulk SMS/email/CRM vendors have DPAs and transfer safeguards.</t>
  </si>
  <si>
    <t>Inspect vendor DPAs and data location.</t>
  </si>
  <si>
    <t>Vendor DPAs</t>
  </si>
  <si>
    <t>Compliance Audit Work Plan — Registry – Establishments / Human Resources</t>
  </si>
  <si>
    <t>Staff, job applicants, next of kin, pensioners</t>
  </si>
  <si>
    <t>Staff files, NIN, BVN, next of kin, medical, promotion, disciplinary records</t>
  </si>
  <si>
    <t>IPPIS, HR records, recruitment portal, personnel files</t>
  </si>
  <si>
    <t>DEPT-HE-01</t>
  </si>
  <si>
    <t>Walk through Registry – Establishments / Human Resources's key processing (recruitment, staff records, promotion, discipline, pensions) and confirm each activity is captured in the ROPA with purpose, data categories, recipients and retention.</t>
  </si>
  <si>
    <t>DEPT-HE-02</t>
  </si>
  <si>
    <t>Inventory data held (Staff files, NIN, BVN, next of kin, medical, promotion, disciplinary records); flag sensitive categories and confirm they are recorded as such.</t>
  </si>
  <si>
    <t>DEPT-HE-03</t>
  </si>
  <si>
    <t>DEPT-HE-04</t>
  </si>
  <si>
    <t>Identify Art. 18(1) activities in Registry – Establishments / Human Resources; test consent capture, records and ease of withdrawal for a sample of 5.</t>
  </si>
  <si>
    <t>DEPT-HE-05</t>
  </si>
  <si>
    <t>Collect all forms/portals used by Registry – Establishments / Human Resources; check each notice against Art. 27(3)(a)-(j).</t>
  </si>
  <si>
    <t>DEPT-HE-06</t>
  </si>
  <si>
    <t>Review fields on Registry – Establishments / Human Resources forms and systems (IPPIS, HR records, recruitment portal, personnel files); identify excessive fields (e.g., religion, NIN, BVN) not justified by purpose.</t>
  </si>
  <si>
    <t>DEPT-HE-07</t>
  </si>
  <si>
    <t>DEPT-HE-08</t>
  </si>
  <si>
    <t>DEPT-HE-09</t>
  </si>
  <si>
    <t>Enquire about requests received by Registry – Establishments / Human Resources; test log and escalation to DPO.</t>
  </si>
  <si>
    <t>DEPT-HE-10</t>
  </si>
  <si>
    <t>Inspect records rooms/cabinets; review user access list for IPPIS, HR records, recruitment portal, personnel files and confirm leavers are removed.</t>
  </si>
  <si>
    <t>DEPT-HE-11</t>
  </si>
  <si>
    <t>DEPT-HE-12</t>
  </si>
  <si>
    <t>Vendors/partners processing personal data for Registry – Establishments / Human Resources have Data Processing Agreements and were vetted.</t>
  </si>
  <si>
    <t>List third parties receiving data from Registry – Establishments / Human Resources; inspect DPAs against Art. 34(2).</t>
  </si>
  <si>
    <t>DEPT-HE-13</t>
  </si>
  <si>
    <t>Assess whether Registry – Establishments / Human Resources's processing triggers Art. 28(3); inspect DPIA and DPO sign-off.</t>
  </si>
  <si>
    <t>DEPT-HE-14</t>
  </si>
  <si>
    <t>Identify foreign tools/partners used by Registry – Establishments / Human Resources (e.g., Google Workspace, Zoom, foreign institutions) and confirm transfer basis.</t>
  </si>
  <si>
    <t>DEPT-HE-15</t>
  </si>
  <si>
    <t>Interview 3 staff on breach reporting; review incidents in Registry – Establishments / Human Resources during the year and escalation timestamps.</t>
  </si>
  <si>
    <t>DEPT-HE-16</t>
  </si>
  <si>
    <t>Compare training attendance to staff list of Registry – Establishments / Human Resources; confirm basic privacy checklist is available.</t>
  </si>
  <si>
    <t>DEPT-HE-17</t>
  </si>
  <si>
    <t>DEPT-HE-18</t>
  </si>
  <si>
    <t>Review results of routine checks performed in Registry – Establishments / Human Resources during the year.</t>
  </si>
  <si>
    <t>DEPT-HE-19</t>
  </si>
  <si>
    <t>Confirm Registry – Establishments / Human Resources submissions for H1 and H2 reports.</t>
  </si>
  <si>
    <t>DEPT-HE-20</t>
  </si>
  <si>
    <t>Enquire about new tools adopted by Registry – Establishments / Human Resources (incl. AI tools); inspect approvals/DPIAs.</t>
  </si>
  <si>
    <t>DEPT-HE-21</t>
  </si>
  <si>
    <t>Review decisions based on personal data in Registry – Establishments / Human Resources (e.g., selection, discipline) for fairness and transparency.</t>
  </si>
  <si>
    <t>DEPT-HE-22</t>
  </si>
  <si>
    <t>Obtain prior-year findings for Registry – Establishments / Human Resources; verify implementation of each agreed action.</t>
  </si>
  <si>
    <t>DEPT-HE-23</t>
  </si>
  <si>
    <t>Recruitment data</t>
  </si>
  <si>
    <t>GAID Art. 21(1),(2)</t>
  </si>
  <si>
    <t>Data of unsuccessful job applicants destroyed within 6 months unless legally justified.</t>
  </si>
  <si>
    <t>Review retention of last recruitment exercise applications.</t>
  </si>
  <si>
    <t>Applicant files; disposal records</t>
  </si>
  <si>
    <t>DEPT-HE-24</t>
  </si>
  <si>
    <t>IPPIS/PFA sharing</t>
  </si>
  <si>
    <t>GAID Art. 22, 34</t>
  </si>
  <si>
    <t>Sharing with IPPIS, PFAs, PenCom and tax authorities rests on legal obligation and is limited to required fields.</t>
  </si>
  <si>
    <t>Map staff data fields shared with each external body; confirm necessity.</t>
  </si>
  <si>
    <t>Data-sharing map; returns</t>
  </si>
  <si>
    <t>DEPT-HE-25</t>
  </si>
  <si>
    <t>Personnel file security</t>
  </si>
  <si>
    <t>Personnel files secured in locked registry with sign-out log.</t>
  </si>
  <si>
    <t>Physically inspect records room and test file movement register.</t>
  </si>
  <si>
    <t>File movement register</t>
  </si>
  <si>
    <t>Compliance Audit Work Plan — Registry – Admissions Office</t>
  </si>
  <si>
    <t>UTME/DE applicants (incl. minors), parents</t>
  </si>
  <si>
    <t>JAMB CAPS data, O'level results, post-UTME scores, photographs</t>
  </si>
  <si>
    <t>JAMB CAPS, admissions portal, screening CBT</t>
  </si>
  <si>
    <t>DEPT-ADM-01</t>
  </si>
  <si>
    <t>Walk through Registry – Admissions Office's key processing (post-UTME screening, CAPS admission processing, result verification with WAEC/NECO) and confirm each activity is captured in the ROPA with purpose, data categories, recipients and retention.</t>
  </si>
  <si>
    <t>DEPT-ADM-02</t>
  </si>
  <si>
    <t>Inventory data held (JAMB CAPS data, O'level results, post-UTME scores, photographs); flag sensitive categories and confirm they are recorded as such.</t>
  </si>
  <si>
    <t>DEPT-ADM-03</t>
  </si>
  <si>
    <t>Identify Art. 18(1) activities in Registry – Admissions Office; test consent capture, records and ease of withdrawal for a sample of 5.</t>
  </si>
  <si>
    <t>DEPT-ADM-05</t>
  </si>
  <si>
    <t>Collect all forms/portals used by Registry – Admissions Office; check each notice against Art. 27(3)(a)-(j).</t>
  </si>
  <si>
    <t>DEPT-ADM-06</t>
  </si>
  <si>
    <t>Review fields on Registry – Admissions Office forms and systems (JAMB CAPS, admissions portal, screening CBT); identify excessive fields (e.g., religion, NIN, BVN) not justified by purpose.</t>
  </si>
  <si>
    <t>DEPT-ADM-07</t>
  </si>
  <si>
    <t>DEPT-ADM-08</t>
  </si>
  <si>
    <t>DEPT-ADM-09</t>
  </si>
  <si>
    <t>Enquire about requests received by Registry – Admissions Office; test log and escalation to DPO.</t>
  </si>
  <si>
    <t>DEPT-ADM-10</t>
  </si>
  <si>
    <t>Inspect records rooms/cabinets; review user access list for JAMB CAPS, admissions portal, screening CBT and confirm leavers are removed.</t>
  </si>
  <si>
    <t>DEPT-ADM-11</t>
  </si>
  <si>
    <t>DEPT-ADM-12</t>
  </si>
  <si>
    <t>Vendors/partners processing personal data for Registry – Admissions Office have Data Processing Agreements and were vetted.</t>
  </si>
  <si>
    <t>List third parties receiving data from Registry – Admissions Office; inspect DPAs against Art. 34(2).</t>
  </si>
  <si>
    <t>DEPT-ADM-13</t>
  </si>
  <si>
    <t>Assess whether Registry – Admissions Office's processing triggers Art. 28(3); inspect DPIA and DPO sign-off.</t>
  </si>
  <si>
    <t>DEPT-ADM-14</t>
  </si>
  <si>
    <t>Identify foreign tools/partners used by Registry – Admissions Office (e.g., Google Workspace, Zoom, foreign institutions) and confirm transfer basis.</t>
  </si>
  <si>
    <t>DEPT-ADM-15</t>
  </si>
  <si>
    <t>Interview 3 staff on breach reporting; review incidents in Registry – Admissions Office during the year and escalation timestamps.</t>
  </si>
  <si>
    <t>DEPT-ADM-16</t>
  </si>
  <si>
    <t>Compare training attendance to staff list of Registry – Admissions Office; confirm basic privacy checklist is available.</t>
  </si>
  <si>
    <t>DEPT-ADM-17</t>
  </si>
  <si>
    <t>DEPT-ADM-18</t>
  </si>
  <si>
    <t>Review results of routine checks performed in Registry – Admissions Office during the year.</t>
  </si>
  <si>
    <t>DEPT-ADM-19</t>
  </si>
  <si>
    <t>Confirm Registry – Admissions Office submissions for H1 and H2 reports.</t>
  </si>
  <si>
    <t>DEPT-ADM-20</t>
  </si>
  <si>
    <t>Enquire about new tools adopted by Registry – Admissions Office (incl. AI tools); inspect approvals/DPIAs.</t>
  </si>
  <si>
    <t>DEPT-ADM-21</t>
  </si>
  <si>
    <t>Review decisions based on personal data in Registry – Admissions Office (e.g., selection, discipline) for fairness and transparency.</t>
  </si>
  <si>
    <t>DEPT-ADM-22</t>
  </si>
  <si>
    <t>Obtain prior-year findings for Registry – Admissions Office; verify implementation of each agreed action.</t>
  </si>
  <si>
    <t>DEPT-ADM-23</t>
  </si>
  <si>
    <t>Applicants under 18</t>
  </si>
  <si>
    <t>Parental consent/authorisation obtained for processing data of applicants below 18.</t>
  </si>
  <si>
    <t>Filter applicant data by date of birth; confirm guardian consent mechanism on portal.</t>
  </si>
  <si>
    <t>Portal consent screen; age analysis</t>
  </si>
  <si>
    <t>DEPT-ADM-24</t>
  </si>
  <si>
    <t>Educational services DPIA</t>
  </si>
  <si>
    <t>GAID Art. 28(3)(m)</t>
  </si>
  <si>
    <t>DPIA covers applicant screening and admission processing.</t>
  </si>
  <si>
    <t>Inspect DPIA for admissions processing.</t>
  </si>
  <si>
    <t>DEPT-ADM-25</t>
  </si>
  <si>
    <t>Admission list publication</t>
  </si>
  <si>
    <t>GAID Art. 15; Sch. 1</t>
  </si>
  <si>
    <t>Published admission lists show minimum data (no phone numbers, DOB or scores beyond necessity).</t>
  </si>
  <si>
    <t>Review published lists on website/notice boards.</t>
  </si>
  <si>
    <t>Published lists</t>
  </si>
  <si>
    <t>DEPT-ADM-26</t>
  </si>
  <si>
    <t>Automated screening decisions</t>
  </si>
  <si>
    <t>GAID Art. 18(1)(f); NDPA s.37</t>
  </si>
  <si>
    <t>Admission decisions are not solely automated, or consent/review mechanism exists.</t>
  </si>
  <si>
    <t>Walk through cut-off and ranking logic; confirm human review and appeal route.</t>
  </si>
  <si>
    <t>Screening procedure; appeal records</t>
  </si>
  <si>
    <t>Compliance Audit Work Plan — Registry – Examinations &amp; Records</t>
  </si>
  <si>
    <t>Students, graduates, employers, verification agencies</t>
  </si>
  <si>
    <t>Results, transcripts, certificates, verification requests</t>
  </si>
  <si>
    <t>Results processing system, transcript portal</t>
  </si>
  <si>
    <t>DEPT-ER-01</t>
  </si>
  <si>
    <t>Walk through Registry – Examinations &amp; Records's key processing (result compilation, transcript issuance, certificate verification) and confirm each activity is captured in the ROPA with purpose, data categories, recipients and retention.</t>
  </si>
  <si>
    <t>DEPT-ER-02</t>
  </si>
  <si>
    <t>Inventory data held (Results, transcripts, certificates, verification requests); flag sensitive categories and confirm they are recorded as such.</t>
  </si>
  <si>
    <t>DEPT-ER-03</t>
  </si>
  <si>
    <t>DEPT-ER-04</t>
  </si>
  <si>
    <t>Identify Art. 18(1) activities in Registry – Examinations &amp; Records; test consent capture, records and ease of withdrawal for a sample of 5.</t>
  </si>
  <si>
    <t>DEPT-ER-05</t>
  </si>
  <si>
    <t>Collect all forms/portals used by Registry – Examinations &amp; Records; check each notice against Art. 27(3)(a)-(j).</t>
  </si>
  <si>
    <t>DEPT-ER-06</t>
  </si>
  <si>
    <t>Review fields on Registry – Examinations &amp; Records forms and systems (Results processing system, transcript portal); identify excessive fields (e.g., religion, NIN, BVN) not justified by purpose.</t>
  </si>
  <si>
    <t>DEPT-ER-07</t>
  </si>
  <si>
    <t>DEPT-ER-08</t>
  </si>
  <si>
    <t>DEPT-ER-09</t>
  </si>
  <si>
    <t>Enquire about requests received by Registry – Examinations &amp; Records; test log and escalation to DPO.</t>
  </si>
  <si>
    <t>DEPT-ER-10</t>
  </si>
  <si>
    <t>Inspect records rooms/cabinets; review user access list for Results processing system, transcript portal and confirm leavers are removed.</t>
  </si>
  <si>
    <t>DEPT-ER-11</t>
  </si>
  <si>
    <t>DEPT-ER-12</t>
  </si>
  <si>
    <t>Vendors/partners processing personal data for Registry – Examinations &amp; Records have Data Processing Agreements and were vetted.</t>
  </si>
  <si>
    <t>List third parties receiving data from Registry – Examinations &amp; Records; inspect DPAs against Art. 34(2).</t>
  </si>
  <si>
    <t>DEPT-ER-13</t>
  </si>
  <si>
    <t>Assess whether Registry – Examinations &amp; Records's processing triggers Art. 28(3); inspect DPIA and DPO sign-off.</t>
  </si>
  <si>
    <t>DEPT-ER-14</t>
  </si>
  <si>
    <t>Identify foreign tools/partners used by Registry – Examinations &amp; Records (e.g., Google Workspace, Zoom, foreign institutions) and confirm transfer basis.</t>
  </si>
  <si>
    <t>DEPT-ER-15</t>
  </si>
  <si>
    <t>Interview 3 staff on breach reporting; review incidents in Registry – Examinations &amp; Records during the year and escalation timestamps.</t>
  </si>
  <si>
    <t>DEPT-ER-16</t>
  </si>
  <si>
    <t>Compare training attendance to staff list of Registry – Examinations &amp; Records; confirm basic privacy checklist is available.</t>
  </si>
  <si>
    <t>DEPT-ER-17</t>
  </si>
  <si>
    <t>DEPT-ER-18</t>
  </si>
  <si>
    <t>Review results of routine checks performed in Registry – Examinations &amp; Records during the year.</t>
  </si>
  <si>
    <t>DEPT-ER-19</t>
  </si>
  <si>
    <t>Confirm Registry – Examinations &amp; Records submissions for H1 and H2 reports.</t>
  </si>
  <si>
    <t>DEPT-ER-20</t>
  </si>
  <si>
    <t>Enquire about new tools adopted by Registry – Examinations &amp; Records (incl. AI tools); inspect approvals/DPIAs.</t>
  </si>
  <si>
    <t>DEPT-ER-21</t>
  </si>
  <si>
    <t>Review decisions based on personal data in Registry – Examinations &amp; Records (e.g., selection, discipline) for fairness and transparency.</t>
  </si>
  <si>
    <t>DEPT-ER-22</t>
  </si>
  <si>
    <t>Obtain prior-year findings for Registry – Examinations &amp; Records; verify implementation of each agreed action.</t>
  </si>
  <si>
    <t>DEPT-ER-23</t>
  </si>
  <si>
    <t>Transcript &amp; verification requests</t>
  </si>
  <si>
    <t>GAID Art. 45; Art. 17</t>
  </si>
  <si>
    <t>Transcripts sent abroad (e.g., WES, foreign universities) and verification responses to employers rely on graduate request/consent.</t>
  </si>
  <si>
    <t>Sample 10 transcript/verification requests; confirm authorisation by the graduate.</t>
  </si>
  <si>
    <t>Request forms; consent evidence</t>
  </si>
  <si>
    <t>DEPT-ER-24</t>
  </si>
  <si>
    <t>Result integrity</t>
  </si>
  <si>
    <t>Result amendments are authorised, logged and traceable to source.</t>
  </si>
  <si>
    <t>Sample 10 result changes; trace to Senate approval and audit trail.</t>
  </si>
  <si>
    <t>Audit trail; Senate approvals</t>
  </si>
  <si>
    <t>Compliance Audit Work Plan — Registry – Council &amp; Senate Affairs</t>
  </si>
  <si>
    <t>Council/Senate members, students and staff discussed in minutes</t>
  </si>
  <si>
    <t>Minutes containing disciplinary, appointment and appeal decisions</t>
  </si>
  <si>
    <t>Minutes archive, board papers</t>
  </si>
  <si>
    <t>DEPT-CS-01</t>
  </si>
  <si>
    <t>Walk through Registry – Council &amp; Senate Affairs's key processing (preparing and circulating Council/Senate papers and minutes) and confirm each activity is captured in the ROPA with purpose, data categories, recipients and retention.</t>
  </si>
  <si>
    <t>DEPT-CS-02</t>
  </si>
  <si>
    <t>Inventory data held (Minutes containing disciplinary, appointment and appeal decisions); flag sensitive categories and confirm they are recorded as such.</t>
  </si>
  <si>
    <t>DEPT-CS-03</t>
  </si>
  <si>
    <t>DEPT-CS-04</t>
  </si>
  <si>
    <t>Identify Art. 18(1) activities in Registry – Council &amp; Senate Affairs; test consent capture, records and ease of withdrawal for a sample of 5.</t>
  </si>
  <si>
    <t>DEPT-CS-05</t>
  </si>
  <si>
    <t>Collect all forms/portals used by Registry – Council &amp; Senate Affairs; check each notice against Art. 27(3)(a)-(j).</t>
  </si>
  <si>
    <t>DEPT-CS-06</t>
  </si>
  <si>
    <t>Review fields on Registry – Council &amp; Senate Affairs forms and systems (Minutes archive, board papers); identify excessive fields (e.g., religion, NIN, BVN) not justified by purpose.</t>
  </si>
  <si>
    <t>DEPT-CS-07</t>
  </si>
  <si>
    <t>DEPT-CS-08</t>
  </si>
  <si>
    <t>DEPT-CS-09</t>
  </si>
  <si>
    <t>Enquire about requests received by Registry – Council &amp; Senate Affairs; test log and escalation to DPO.</t>
  </si>
  <si>
    <t>DEPT-CS-10</t>
  </si>
  <si>
    <t>Inspect records rooms/cabinets; review user access list for Minutes archive, board papers and confirm leavers are removed.</t>
  </si>
  <si>
    <t>DEPT-CS-11</t>
  </si>
  <si>
    <t>DEPT-CS-12</t>
  </si>
  <si>
    <t>Vendors/partners processing personal data for Registry – Council &amp; Senate Affairs have Data Processing Agreements and were vetted.</t>
  </si>
  <si>
    <t>List third parties receiving data from Registry – Council &amp; Senate Affairs; inspect DPAs against Art. 34(2).</t>
  </si>
  <si>
    <t>DEPT-CS-13</t>
  </si>
  <si>
    <t>Assess whether Registry – Council &amp; Senate Affairs's processing triggers Art. 28(3); inspect DPIA and DPO sign-off.</t>
  </si>
  <si>
    <t>DEPT-CS-14</t>
  </si>
  <si>
    <t>Identify foreign tools/partners used by Registry – Council &amp; Senate Affairs (e.g., Google Workspace, Zoom, foreign institutions) and confirm transfer basis.</t>
  </si>
  <si>
    <t>DEPT-CS-15</t>
  </si>
  <si>
    <t>Interview 3 staff on breach reporting; review incidents in Registry – Council &amp; Senate Affairs during the year and escalation timestamps.</t>
  </si>
  <si>
    <t>DEPT-CS-16</t>
  </si>
  <si>
    <t>Compare training attendance to staff list of Registry – Council &amp; Senate Affairs; confirm basic privacy checklist is available.</t>
  </si>
  <si>
    <t>DEPT-CS-17</t>
  </si>
  <si>
    <t>DEPT-CS-18</t>
  </si>
  <si>
    <t>Review results of routine checks performed in Registry – Council &amp; Senate Affairs during the year.</t>
  </si>
  <si>
    <t>DEPT-CS-19</t>
  </si>
  <si>
    <t>Confirm Registry – Council &amp; Senate Affairs submissions for H1 and H2 reports.</t>
  </si>
  <si>
    <t>DEPT-CS-20</t>
  </si>
  <si>
    <t>Enquire about new tools adopted by Registry – Council &amp; Senate Affairs (incl. AI tools); inspect approvals/DPIAs.</t>
  </si>
  <si>
    <t>DEPT-CS-21</t>
  </si>
  <si>
    <t>Review decisions based on personal data in Registry – Council &amp; Senate Affairs (e.g., selection, discipline) for fairness and transparency.</t>
  </si>
  <si>
    <t>DEPT-CS-22</t>
  </si>
  <si>
    <t>Obtain prior-year findings for Registry – Council &amp; Senate Affairs; verify implementation of each agreed action.</t>
  </si>
  <si>
    <t>DEPT-CS-23</t>
  </si>
  <si>
    <t>Circulation of papers</t>
  </si>
  <si>
    <t>GAID Art. 15; NDPA s.39</t>
  </si>
  <si>
    <t>Board papers containing personal data are circulated securely and retrieved/destroyed after use.</t>
  </si>
  <si>
    <t>Review distribution method (email/WhatsApp/hard copy) and retrieval practice.</t>
  </si>
  <si>
    <t>Distribution list; procedure</t>
  </si>
  <si>
    <t>Compliance Audit Work Plan — Bursary Department</t>
  </si>
  <si>
    <t>Students, staff, vendors, parents</t>
  </si>
  <si>
    <t>Bank details, BVN, payroll, fee payments, tax IDs</t>
  </si>
  <si>
    <t>Remita/TSA, payment gateways, payroll, accounting system</t>
  </si>
  <si>
    <t>DEPT-BUR-01</t>
  </si>
  <si>
    <t>Walk through Bursary Department's key processing (fee collection, payroll, vendor payments, refunds) and confirm each activity is captured in the ROPA with purpose, data categories, recipients and retention.</t>
  </si>
  <si>
    <t>DEPT-BUR-02</t>
  </si>
  <si>
    <t>Inventory data held (Bank details, BVN, payroll, fee payments, tax IDs); flag sensitive categories and confirm they are recorded as such.</t>
  </si>
  <si>
    <t>DEPT-BUR-03</t>
  </si>
  <si>
    <t>DEPT-BUR-04</t>
  </si>
  <si>
    <t>Identify Art. 18(1) activities in Bursary Department; test consent capture, records and ease of withdrawal for a sample of 5.</t>
  </si>
  <si>
    <t>DEPT-BUR-05</t>
  </si>
  <si>
    <t>Collect all forms/portals used by Bursary Department; check each notice against Art. 27(3)(a)-(j).</t>
  </si>
  <si>
    <t>DEPT-BUR-06</t>
  </si>
  <si>
    <t>Review fields on Bursary Department forms and systems (Remita/TSA, payment gateways, payroll, accounting system); identify excessive fields (e.g., religion, NIN, BVN) not justified by purpose.</t>
  </si>
  <si>
    <t>DEPT-BUR-07</t>
  </si>
  <si>
    <t>DEPT-BUR-08</t>
  </si>
  <si>
    <t>DEPT-BUR-09</t>
  </si>
  <si>
    <t>Enquire about requests received by Bursary Department; test log and escalation to DPO.</t>
  </si>
  <si>
    <t>DEPT-BUR-10</t>
  </si>
  <si>
    <t>Inspect records rooms/cabinets; review user access list for Remita/TSA, payment gateways, payroll, accounting system and confirm leavers are removed.</t>
  </si>
  <si>
    <t>DEPT-BUR-11</t>
  </si>
  <si>
    <t>DEPT-BUR-12</t>
  </si>
  <si>
    <t>Vendors/partners processing personal data for Bursary Department have Data Processing Agreements and were vetted.</t>
  </si>
  <si>
    <t>List third parties receiving data from Bursary Department; inspect DPAs against Art. 34(2).</t>
  </si>
  <si>
    <t>DEPT-BUR-13</t>
  </si>
  <si>
    <t>Assess whether Bursary Department's processing triggers Art. 28(3); inspect DPIA and DPO sign-off.</t>
  </si>
  <si>
    <t>DEPT-BUR-14</t>
  </si>
  <si>
    <t>Identify foreign tools/partners used by Bursary Department (e.g., Google Workspace, Zoom, foreign institutions) and confirm transfer basis.</t>
  </si>
  <si>
    <t>DEPT-BUR-15</t>
  </si>
  <si>
    <t>Interview 3 staff on breach reporting; review incidents in Bursary Department during the year and escalation timestamps.</t>
  </si>
  <si>
    <t>DEPT-BUR-16</t>
  </si>
  <si>
    <t>Compare training attendance to staff list of Bursary Department; confirm basic privacy checklist is available.</t>
  </si>
  <si>
    <t>DEPT-BUR-17</t>
  </si>
  <si>
    <t>DEPT-BUR-18</t>
  </si>
  <si>
    <t>Review results of routine checks performed in Bursary Department during the year.</t>
  </si>
  <si>
    <t>DEPT-BUR-19</t>
  </si>
  <si>
    <t>Confirm Bursary Department submissions for H1 and H2 reports.</t>
  </si>
  <si>
    <t>DEPT-BUR-20</t>
  </si>
  <si>
    <t>Enquire about new tools adopted by Bursary Department (incl. AI tools); inspect approvals/DPIAs.</t>
  </si>
  <si>
    <t>DEPT-BUR-21</t>
  </si>
  <si>
    <t>Review decisions based on personal data in Bursary Department (e.g., selection, discipline) for fairness and transparency.</t>
  </si>
  <si>
    <t>DEPT-BUR-22</t>
  </si>
  <si>
    <t>Obtain prior-year findings for Bursary Department; verify implementation of each agreed action.</t>
  </si>
  <si>
    <t>DEPT-BUR-23</t>
  </si>
  <si>
    <t>Payment gateway processors</t>
  </si>
  <si>
    <t>GAID Art. 34; Art. 28(3)(h)</t>
  </si>
  <si>
    <t>Payment gateways and banks have DPAs; digital payment processing covered by DPIA.</t>
  </si>
  <si>
    <t>Inspect gateway contracts and DPIA for online payments.</t>
  </si>
  <si>
    <t>Gateway contracts; DPIA</t>
  </si>
  <si>
    <t>DEPT-BUR-24</t>
  </si>
  <si>
    <t>Financial data security</t>
  </si>
  <si>
    <t>Payroll and bank data restricted by role; exports encrypted.</t>
  </si>
  <si>
    <t>Test system access rights; review how payroll schedules are sent to banks.</t>
  </si>
  <si>
    <t>Access list; transmission method</t>
  </si>
  <si>
    <t>Compliance Audit Work Plan — University Library</t>
  </si>
  <si>
    <t>Students, staff, external readers</t>
  </si>
  <si>
    <t>Patron records, borrowing history, e-resource access logs</t>
  </si>
  <si>
    <t>Library management system, e-resource proxy, CCTV</t>
  </si>
  <si>
    <t>DEPT-LIB-01</t>
  </si>
  <si>
    <t>Walk through University Library's key processing (patron registration, circulation, e-resource authentication) and confirm each activity is captured in the ROPA with purpose, data categories, recipients and retention.</t>
  </si>
  <si>
    <t>DEPT-LIB-02</t>
  </si>
  <si>
    <t>Inventory data held (Patron records, borrowing history, e-resource access logs); flag sensitive categories and confirm they are recorded as such.</t>
  </si>
  <si>
    <t>DEPT-LIB-03</t>
  </si>
  <si>
    <t>DEPT-LIB-04</t>
  </si>
  <si>
    <t>Identify Art. 18(1) activities in University Library; test consent capture, records and ease of withdrawal for a sample of 5.</t>
  </si>
  <si>
    <t>DEPT-LIB-05</t>
  </si>
  <si>
    <t>Collect all forms/portals used by University Library; check each notice against Art. 27(3)(a)-(j).</t>
  </si>
  <si>
    <t>DEPT-LIB-06</t>
  </si>
  <si>
    <t>Review fields on University Library forms and systems (Library management system, e-resource proxy, CCTV); identify excessive fields (e.g., religion, NIN, BVN) not justified by purpose.</t>
  </si>
  <si>
    <t>DEPT-LIB-07</t>
  </si>
  <si>
    <t>DEPT-LIB-08</t>
  </si>
  <si>
    <t>DEPT-LIB-09</t>
  </si>
  <si>
    <t>Enquire about requests received by University Library; test log and escalation to DPO.</t>
  </si>
  <si>
    <t>DEPT-LIB-10</t>
  </si>
  <si>
    <t>Inspect records rooms/cabinets; review user access list for Library management system, e-resource proxy, CCTV and confirm leavers are removed.</t>
  </si>
  <si>
    <t>DEPT-LIB-11</t>
  </si>
  <si>
    <t>DEPT-LIB-12</t>
  </si>
  <si>
    <t>Vendors/partners processing personal data for University Library have Data Processing Agreements and were vetted.</t>
  </si>
  <si>
    <t>List third parties receiving data from University Library; inspect DPAs against Art. 34(2).</t>
  </si>
  <si>
    <t>DEPT-LIB-13</t>
  </si>
  <si>
    <t>Assess whether University Library's processing triggers Art. 28(3); inspect DPIA and DPO sign-off.</t>
  </si>
  <si>
    <t>DEPT-LIB-14</t>
  </si>
  <si>
    <t>Identify foreign tools/partners used by University Library (e.g., Google Workspace, Zoom, foreign institutions) and confirm transfer basis.</t>
  </si>
  <si>
    <t>DEPT-LIB-15</t>
  </si>
  <si>
    <t>Interview 3 staff on breach reporting; review incidents in University Library during the year and escalation timestamps.</t>
  </si>
  <si>
    <t>DEPT-LIB-16</t>
  </si>
  <si>
    <t>Compare training attendance to staff list of University Library; confirm basic privacy checklist is available.</t>
  </si>
  <si>
    <t>DEPT-LIB-17</t>
  </si>
  <si>
    <t>DEPT-LIB-18</t>
  </si>
  <si>
    <t>Review results of routine checks performed in University Library during the year.</t>
  </si>
  <si>
    <t>DEPT-LIB-19</t>
  </si>
  <si>
    <t>Confirm University Library submissions for H1 and H2 reports.</t>
  </si>
  <si>
    <t>DEPT-LIB-20</t>
  </si>
  <si>
    <t>Enquire about new tools adopted by University Library (incl. AI tools); inspect approvals/DPIAs.</t>
  </si>
  <si>
    <t>DEPT-LIB-21</t>
  </si>
  <si>
    <t>Review decisions based on personal data in University Library (e.g., selection, discipline) for fairness and transparency.</t>
  </si>
  <si>
    <t>DEPT-LIB-22</t>
  </si>
  <si>
    <t>Obtain prior-year findings for University Library; verify implementation of each agreed action.</t>
  </si>
  <si>
    <t>DEPT-LIB-23</t>
  </si>
  <si>
    <t>Reading history confidentiality</t>
  </si>
  <si>
    <t>Borrowing and e-resource access histories are not disclosed or used for profiling.</t>
  </si>
  <si>
    <t>Review LMS privacy settings and log retention for proxy/e-resources.</t>
  </si>
  <si>
    <t>System settings; retention policy</t>
  </si>
  <si>
    <t>DEPT-LIB-24</t>
  </si>
  <si>
    <t>E-resource vendors</t>
  </si>
  <si>
    <t>Foreign e-resource providers receiving user identifiers have transfer safeguards.</t>
  </si>
  <si>
    <t>List SSO/proxy integrations passing user data; inspect terms.</t>
  </si>
  <si>
    <t>Vendor terms</t>
  </si>
  <si>
    <t>Compliance Audit Work Plan — Legal Unit</t>
  </si>
  <si>
    <t>Litigants, staff, students, contractors</t>
  </si>
  <si>
    <t>Litigation files, contracts, legal opinions</t>
  </si>
  <si>
    <t>Legal files, contract register</t>
  </si>
  <si>
    <t>DEPT-LU-01</t>
  </si>
  <si>
    <t>Walk through Legal Unit's key processing (litigation, contract review, legal opinions) and confirm each activity is captured in the ROPA with purpose, data categories, recipients and retention.</t>
  </si>
  <si>
    <t>DEPT-LU-02</t>
  </si>
  <si>
    <t>Inventory data held (Litigation files, contracts, legal opinions); flag sensitive categories and confirm they are recorded as such.</t>
  </si>
  <si>
    <t>DEPT-LU-03</t>
  </si>
  <si>
    <t>DEPT-LU-04</t>
  </si>
  <si>
    <t>Identify Art. 18(1) activities in Legal Unit; test consent capture, records and ease of withdrawal for a sample of 5.</t>
  </si>
  <si>
    <t>DEPT-LU-05</t>
  </si>
  <si>
    <t>Collect all forms/portals used by Legal Unit; check each notice against Art. 27(3)(a)-(j).</t>
  </si>
  <si>
    <t>DEPT-LU-06</t>
  </si>
  <si>
    <t>Review fields on Legal Unit forms and systems (Legal files, contract register); identify excessive fields (e.g., religion, NIN, BVN) not justified by purpose.</t>
  </si>
  <si>
    <t>DEPT-LU-07</t>
  </si>
  <si>
    <t>DEPT-LU-08</t>
  </si>
  <si>
    <t>DEPT-LU-09</t>
  </si>
  <si>
    <t>Enquire about requests received by Legal Unit; test log and escalation to DPO.</t>
  </si>
  <si>
    <t>DEPT-LU-10</t>
  </si>
  <si>
    <t>Inspect records rooms/cabinets; review user access list for Legal files, contract register and confirm leavers are removed.</t>
  </si>
  <si>
    <t>DEPT-LU-11</t>
  </si>
  <si>
    <t>DEPT-LU-12</t>
  </si>
  <si>
    <t>Vendors/partners processing personal data for Legal Unit have Data Processing Agreements and were vetted.</t>
  </si>
  <si>
    <t>List third parties receiving data from Legal Unit; inspect DPAs against Art. 34(2).</t>
  </si>
  <si>
    <t>DEPT-LU-13</t>
  </si>
  <si>
    <t>Assess whether Legal Unit's processing triggers Art. 28(3); inspect DPIA and DPO sign-off.</t>
  </si>
  <si>
    <t>DEPT-LU-14</t>
  </si>
  <si>
    <t>Identify foreign tools/partners used by Legal Unit (e.g., Google Workspace, Zoom, foreign institutions) and confirm transfer basis.</t>
  </si>
  <si>
    <t>DEPT-LU-15</t>
  </si>
  <si>
    <t>Interview 3 staff on breach reporting; review incidents in Legal Unit during the year and escalation timestamps.</t>
  </si>
  <si>
    <t>DEPT-LU-16</t>
  </si>
  <si>
    <t>Compare training attendance to staff list of Legal Unit; confirm basic privacy checklist is available.</t>
  </si>
  <si>
    <t>DEPT-LU-17</t>
  </si>
  <si>
    <t>DEPT-LU-18</t>
  </si>
  <si>
    <t>Review results of routine checks performed in Legal Unit during the year.</t>
  </si>
  <si>
    <t>DEPT-LU-19</t>
  </si>
  <si>
    <t>Confirm Legal Unit submissions for H1 and H2 reports.</t>
  </si>
  <si>
    <t>DEPT-LU-20</t>
  </si>
  <si>
    <t>Enquire about new tools adopted by Legal Unit (incl. AI tools); inspect approvals/DPIAs.</t>
  </si>
  <si>
    <t>DEPT-LU-21</t>
  </si>
  <si>
    <t>Review decisions based on personal data in Legal Unit (e.g., selection, discipline) for fairness and transparency.</t>
  </si>
  <si>
    <t>DEPT-LU-22</t>
  </si>
  <si>
    <t>Obtain prior-year findings for Legal Unit; verify implementation of each agreed action.</t>
  </si>
  <si>
    <t>DEPT-LU-23</t>
  </si>
  <si>
    <t>DPA templates</t>
  </si>
  <si>
    <t>GAID Art. 34(2)</t>
  </si>
  <si>
    <t>Standard DPA template containing Art. 34(2)(a)-(t) clauses is used for all processor contracts.</t>
  </si>
  <si>
    <t>Review DPA template against Art. 34(2) checklist; sample 5 recent contracts.</t>
  </si>
  <si>
    <t>DPA template; contracts</t>
  </si>
  <si>
    <t>DEPT-LU-24</t>
  </si>
  <si>
    <t>Legal obligation opinions</t>
  </si>
  <si>
    <t>GAID Art. 22(6),(7)</t>
  </si>
  <si>
    <t>Requests from police, courts and agencies are reviewed for legal competence and scope before disclosure.</t>
  </si>
  <si>
    <t>Sample disclosure requests and review opinions issued.</t>
  </si>
  <si>
    <t>Request files; opinions</t>
  </si>
  <si>
    <t>DEPT-LU-25</t>
  </si>
  <si>
    <t>Oust clauses</t>
  </si>
  <si>
    <t>GAID Art. 21(4)</t>
  </si>
  <si>
    <t>Contracts do not oust jurisdiction of Nigerian courts or NDPC on data processing.</t>
  </si>
  <si>
    <t>Review foreign vendor contracts for governing law/jurisdiction clauses.</t>
  </si>
  <si>
    <t>Vendor contracts</t>
  </si>
  <si>
    <t>Compliance Audit Work Plan — Information, Public Relations &amp; Protocol</t>
  </si>
  <si>
    <t>Students, staff, event attendees, social media audience</t>
  </si>
  <si>
    <t>Photos, videos, names in publications, website visitor data</t>
  </si>
  <si>
    <t>Website, social media pages, bulk SMS, CMS</t>
  </si>
  <si>
    <t>DEPT-IP-01</t>
  </si>
  <si>
    <t>Walk through Information, Public Relations &amp; Protocol's key processing (event coverage, publications, social media, website management) and confirm each activity is captured in the ROPA with purpose, data categories, recipients and retention.</t>
  </si>
  <si>
    <t>DEPT-IP-02</t>
  </si>
  <si>
    <t>Inventory data held (Photos, videos, names in publications, website visitor data); flag sensitive categories and confirm they are recorded as such.</t>
  </si>
  <si>
    <t>DEPT-IP-03</t>
  </si>
  <si>
    <t>DEPT-IP-04</t>
  </si>
  <si>
    <t>Identify Art. 18(1) activities in Information, Public Relations &amp; Protocol; test consent capture, records and ease of withdrawal for a sample of 5.</t>
  </si>
  <si>
    <t>DEPT-IP-05</t>
  </si>
  <si>
    <t>Collect all forms/portals used by Information, Public Relations &amp; Protocol; check each notice against Art. 27(3)(a)-(j).</t>
  </si>
  <si>
    <t>DEPT-IP-06</t>
  </si>
  <si>
    <t>Review fields on Information, Public Relations &amp; Protocol forms and systems (Website, social media pages, bulk SMS, CMS); identify excessive fields (e.g., religion, NIN, BVN) not justified by purpose.</t>
  </si>
  <si>
    <t>DEPT-IP-07</t>
  </si>
  <si>
    <t>DEPT-IP-08</t>
  </si>
  <si>
    <t>DEPT-IP-09</t>
  </si>
  <si>
    <t>Enquire about requests received by Information, Public Relations &amp; Protocol; test log and escalation to DPO.</t>
  </si>
  <si>
    <t>DEPT-IP-10</t>
  </si>
  <si>
    <t>Inspect records rooms/cabinets; review user access list for Website, social media pages, bulk SMS, CMS and confirm leavers are removed.</t>
  </si>
  <si>
    <t>DEPT-IP-11</t>
  </si>
  <si>
    <t>DEPT-IP-12</t>
  </si>
  <si>
    <t>Vendors/partners processing personal data for Information, Public Relations &amp; Protocol have Data Processing Agreements and were vetted.</t>
  </si>
  <si>
    <t>List third parties receiving data from Information, Public Relations &amp; Protocol; inspect DPAs against Art. 34(2).</t>
  </si>
  <si>
    <t>DEPT-IP-13</t>
  </si>
  <si>
    <t>Assess whether Information, Public Relations &amp; Protocol's processing triggers Art. 28(3); inspect DPIA and DPO sign-off.</t>
  </si>
  <si>
    <t>DEPT-IP-14</t>
  </si>
  <si>
    <t>Identify foreign tools/partners used by Information, Public Relations &amp; Protocol (e.g., Google Workspace, Zoom, foreign institutions) and confirm transfer basis.</t>
  </si>
  <si>
    <t>DEPT-IP-15</t>
  </si>
  <si>
    <t>Interview 3 staff on breach reporting; review incidents in Information, Public Relations &amp; Protocol during the year and escalation timestamps.</t>
  </si>
  <si>
    <t>DEPT-IP-16</t>
  </si>
  <si>
    <t>Compare training attendance to staff list of Information, Public Relations &amp; Protocol; confirm basic privacy checklist is available.</t>
  </si>
  <si>
    <t>DEPT-IP-17</t>
  </si>
  <si>
    <t>DEPT-IP-18</t>
  </si>
  <si>
    <t>Review results of routine checks performed in Information, Public Relations &amp; Protocol during the year.</t>
  </si>
  <si>
    <t>DEPT-IP-19</t>
  </si>
  <si>
    <t>Confirm Information, Public Relations &amp; Protocol submissions for H1 and H2 reports.</t>
  </si>
  <si>
    <t>DEPT-IP-20</t>
  </si>
  <si>
    <t>Enquire about new tools adopted by Information, Public Relations &amp; Protocol (incl. AI tools); inspect approvals/DPIAs.</t>
  </si>
  <si>
    <t>DEPT-IP-21</t>
  </si>
  <si>
    <t>Review decisions based on personal data in Information, Public Relations &amp; Protocol (e.g., selection, discipline) for fairness and transparency.</t>
  </si>
  <si>
    <t>DEPT-IP-22</t>
  </si>
  <si>
    <t>Obtain prior-year findings for Information, Public Relations &amp; Protocol; verify implementation of each agreed action.</t>
  </si>
  <si>
    <t>DEPT-IP-23</t>
  </si>
  <si>
    <t>Event photography</t>
  </si>
  <si>
    <t>GAID Art. 17(8)(a)</t>
  </si>
  <si>
    <t>Event images used only for reporting unless express consent obtained for promotional use; attendees notified.</t>
  </si>
  <si>
    <t>Review event notices and a sample of adverts/prospectus images for model consent.</t>
  </si>
  <si>
    <t>Event notices; consent releases</t>
  </si>
  <si>
    <t>DEPT-IP-24</t>
  </si>
  <si>
    <t>Website cookies</t>
  </si>
  <si>
    <t>GAID Art. 19; Art. 7(l)</t>
  </si>
  <si>
    <t>Website cookie banner is conspicuous, not at page bottom, with accept/reject choices.</t>
  </si>
  <si>
    <t>Inspect website on desktop and mobile; review analytics/tracking tools used.</t>
  </si>
  <si>
    <t>Screenshots; tag inventory</t>
  </si>
  <si>
    <t>Compliance Audit Work Plan — Procurement Department</t>
  </si>
  <si>
    <t>Bidders, vendors, contractors</t>
  </si>
  <si>
    <t>Bidder directors' IDs, tax &amp; bank details, CVs of key personnel</t>
  </si>
  <si>
    <t>Vendor register, tender files</t>
  </si>
  <si>
    <t>DEPT-PRO-01</t>
  </si>
  <si>
    <t>Walk through Procurement Department's key processing (tendering, vendor registration, contract award publication) and confirm each activity is captured in the ROPA with purpose, data categories, recipients and retention.</t>
  </si>
  <si>
    <t>DEPT-PRO-02</t>
  </si>
  <si>
    <t>Inventory data held (Bidder directors' IDs, tax &amp; bank details, CVs of key personnel); flag sensitive categories and confirm they are recorded as such.</t>
  </si>
  <si>
    <t>DEPT-PRO-03</t>
  </si>
  <si>
    <t>DEPT-PRO-04</t>
  </si>
  <si>
    <t>Identify Art. 18(1) activities in Procurement Department; test consent capture, records and ease of withdrawal for a sample of 5.</t>
  </si>
  <si>
    <t>DEPT-PRO-05</t>
  </si>
  <si>
    <t>Collect all forms/portals used by Procurement Department; check each notice against Art. 27(3)(a)-(j).</t>
  </si>
  <si>
    <t>DEPT-PRO-06</t>
  </si>
  <si>
    <t>Review fields on Procurement Department forms and systems (Vendor register, tender files); identify excessive fields (e.g., religion, NIN, BVN) not justified by purpose.</t>
  </si>
  <si>
    <t>DEPT-PRO-07</t>
  </si>
  <si>
    <t>DEPT-PRO-08</t>
  </si>
  <si>
    <t>DEPT-PRO-09</t>
  </si>
  <si>
    <t>Enquire about requests received by Procurement Department; test log and escalation to DPO.</t>
  </si>
  <si>
    <t>DEPT-PRO-10</t>
  </si>
  <si>
    <t>Inspect records rooms/cabinets; review user access list for Vendor register, tender files and confirm leavers are removed.</t>
  </si>
  <si>
    <t>DEPT-PRO-11</t>
  </si>
  <si>
    <t>DEPT-PRO-12</t>
  </si>
  <si>
    <t>Vendors/partners processing personal data for Procurement Department have Data Processing Agreements and were vetted.</t>
  </si>
  <si>
    <t>List third parties receiving data from Procurement Department; inspect DPAs against Art. 34(2).</t>
  </si>
  <si>
    <t>DEPT-PRO-13</t>
  </si>
  <si>
    <t>Assess whether Procurement Department's processing triggers Art. 28(3); inspect DPIA and DPO sign-off.</t>
  </si>
  <si>
    <t>DEPT-PRO-14</t>
  </si>
  <si>
    <t>Identify foreign tools/partners used by Procurement Department (e.g., Google Workspace, Zoom, foreign institutions) and confirm transfer basis.</t>
  </si>
  <si>
    <t>DEPT-PRO-15</t>
  </si>
  <si>
    <t>Interview 3 staff on breach reporting; review incidents in Procurement Department during the year and escalation timestamps.</t>
  </si>
  <si>
    <t>DEPT-PRO-16</t>
  </si>
  <si>
    <t>Compare training attendance to staff list of Procurement Department; confirm basic privacy checklist is available.</t>
  </si>
  <si>
    <t>DEPT-PRO-17</t>
  </si>
  <si>
    <t>DEPT-PRO-18</t>
  </si>
  <si>
    <t>Review results of routine checks performed in Procurement Department during the year.</t>
  </si>
  <si>
    <t>DEPT-PRO-19</t>
  </si>
  <si>
    <t>Confirm Procurement Department submissions for H1 and H2 reports.</t>
  </si>
  <si>
    <t>DEPT-PRO-20</t>
  </si>
  <si>
    <t>Enquire about new tools adopted by Procurement Department (incl. AI tools); inspect approvals/DPIAs.</t>
  </si>
  <si>
    <t>DEPT-PRO-21</t>
  </si>
  <si>
    <t>Review decisions based on personal data in Procurement Department (e.g., selection, discipline) for fairness and transparency.</t>
  </si>
  <si>
    <t>DEPT-PRO-22</t>
  </si>
  <si>
    <t>Obtain prior-year findings for Procurement Department; verify implementation of each agreed action.</t>
  </si>
  <si>
    <t>DEPT-PRO-23</t>
  </si>
  <si>
    <t>Vendor due diligence</t>
  </si>
  <si>
    <t>GAID Art. 21(1),(2); Art. 34(3)</t>
  </si>
  <si>
    <t>Processors are vetted for NDPA compliance (incl. NDPC registration) before engagement; unsuccessful bid data retained only as justified.</t>
  </si>
  <si>
    <t>Review vendor registration checklist for data protection criteria; check disposal of unsuccessful bids.</t>
  </si>
  <si>
    <t>Checklist; tender files</t>
  </si>
  <si>
    <t>Compliance Audit Work Plan — Faculty of Arts</t>
  </si>
  <si>
    <t>Students, lecturers, research participants</t>
  </si>
  <si>
    <t>Student records, CA &amp; exam scores, projects, oral history recordings</t>
  </si>
  <si>
    <t>Faculty/department files, results sheets, LMS</t>
  </si>
  <si>
    <t>FAC-ART-01</t>
  </si>
  <si>
    <t>Walk through Faculty of Arts's key processing (course registration, CA/exam records, project supervision, language lab recordings) and confirm each activity is captured in the ROPA with purpose, data categories, recipients and retention.</t>
  </si>
  <si>
    <t>FAC-ART-02</t>
  </si>
  <si>
    <t>Inventory data held (Student records, CA &amp; exam scores, projects, oral history recordings); flag sensitive categories and confirm they are recorded as such.</t>
  </si>
  <si>
    <t>FAC-ART-03</t>
  </si>
  <si>
    <t>FAC-ART-04</t>
  </si>
  <si>
    <t>Identify Art. 18(1) activities in Faculty of Arts; test consent capture, records and ease of withdrawal for a sample of 5.</t>
  </si>
  <si>
    <t>FAC-ART-05</t>
  </si>
  <si>
    <t>Collect all forms/portals used by Faculty of Arts; check each notice against Art. 27(3)(a)-(j).</t>
  </si>
  <si>
    <t>FAC-ART-06</t>
  </si>
  <si>
    <t>Review fields on Faculty of Arts forms and systems (Faculty/department files, results sheets, LMS); identify excessive fields (e.g., religion, NIN, BVN) not justified by purpose.</t>
  </si>
  <si>
    <t>FAC-ART-07</t>
  </si>
  <si>
    <t>FAC-ART-08</t>
  </si>
  <si>
    <t>FAC-ART-09</t>
  </si>
  <si>
    <t>Enquire about requests received by Faculty of Arts; test log and escalation to DPO.</t>
  </si>
  <si>
    <t>FAC-ART-10</t>
  </si>
  <si>
    <t>Inspect records rooms/cabinets; review user access list for Faculty/department files, results sheets, LMS and confirm leavers are removed.</t>
  </si>
  <si>
    <t>FAC-ART-11</t>
  </si>
  <si>
    <t>FAC-ART-12</t>
  </si>
  <si>
    <t>Vendors/partners processing personal data for Faculty of Arts have Data Processing Agreements and were vetted.</t>
  </si>
  <si>
    <t>List third parties receiving data from Faculty of Arts; inspect DPAs against Art. 34(2).</t>
  </si>
  <si>
    <t>FAC-ART-13</t>
  </si>
  <si>
    <t>Assess whether Faculty of Arts's processing triggers Art. 28(3); inspect DPIA and DPO sign-off.</t>
  </si>
  <si>
    <t>FAC-ART-14</t>
  </si>
  <si>
    <t>Identify foreign tools/partners used by Faculty of Arts (e.g., Google Workspace, Zoom, foreign institutions) and confirm transfer basis.</t>
  </si>
  <si>
    <t>FAC-ART-15</t>
  </si>
  <si>
    <t>Interview 3 staff on breach reporting; review incidents in Faculty of Arts during the year and escalation timestamps.</t>
  </si>
  <si>
    <t>FAC-ART-16</t>
  </si>
  <si>
    <t>Compare training attendance to staff list of Faculty of Arts; confirm basic privacy checklist is available.</t>
  </si>
  <si>
    <t>FAC-ART-17</t>
  </si>
  <si>
    <t>FAC-ART-18</t>
  </si>
  <si>
    <t>Review results of routine checks performed in Faculty of Arts during the year.</t>
  </si>
  <si>
    <t>FAC-ART-19</t>
  </si>
  <si>
    <t>Confirm Faculty of Arts submissions for H1 and H2 reports.</t>
  </si>
  <si>
    <t>FAC-ART-20</t>
  </si>
  <si>
    <t>Enquire about new tools adopted by Faculty of Arts (incl. AI tools); inspect approvals/DPIAs.</t>
  </si>
  <si>
    <t>FAC-ART-21</t>
  </si>
  <si>
    <t>Review decisions based on personal data in Faculty of Arts (e.g., selection, discipline) for fairness and transparency.</t>
  </si>
  <si>
    <t>FAC-ART-22</t>
  </si>
  <si>
    <t>Obtain prior-year findings for Faculty of Arts; verify implementation of each agreed action.</t>
  </si>
  <si>
    <t>FAC-ART-23</t>
  </si>
  <si>
    <t>Recordings &amp; oral histories</t>
  </si>
  <si>
    <t>GAID Art. 17, 41</t>
  </si>
  <si>
    <t>Audio/video recordings of participants (oral history, language labs) have informed consent and secure storage.</t>
  </si>
  <si>
    <t>Sample 5 recording projects for consent forms and storage location.</t>
  </si>
  <si>
    <t>Consent forms; storage check</t>
  </si>
  <si>
    <t>Compliance Audit Work Plan — Faculty of Education</t>
  </si>
  <si>
    <t>Students, pupils in partner schools, teachers</t>
  </si>
  <si>
    <t>Teaching practice reports, pupils' assessment data, student records</t>
  </si>
  <si>
    <t>Teaching practice files, results sheets</t>
  </si>
  <si>
    <t>FAC-EDU-01</t>
  </si>
  <si>
    <t>Walk through Faculty of Education's key processing (teaching practice supervision, micro-teaching recordings, examinations) and confirm each activity is captured in the ROPA with purpose, data categories, recipients and retention.</t>
  </si>
  <si>
    <t>FAC-EDU-02</t>
  </si>
  <si>
    <t>Inventory data held (Teaching practice reports, pupils' assessment data, student records); flag sensitive categories and confirm they are recorded as such.</t>
  </si>
  <si>
    <t>FAC-EDU-03</t>
  </si>
  <si>
    <t>FAC-EDU-04</t>
  </si>
  <si>
    <t>Identify Art. 18(1) activities in Faculty of Education; test consent capture, records and ease of withdrawal for a sample of 5.</t>
  </si>
  <si>
    <t>FAC-EDU-05</t>
  </si>
  <si>
    <t>Collect all forms/portals used by Faculty of Education; check each notice against Art. 27(3)(a)-(j).</t>
  </si>
  <si>
    <t>FAC-EDU-06</t>
  </si>
  <si>
    <t>Review fields on Faculty of Education forms and systems (Teaching practice files, results sheets); identify excessive fields (e.g., religion, NIN, BVN) not justified by purpose.</t>
  </si>
  <si>
    <t>FAC-EDU-07</t>
  </si>
  <si>
    <t>FAC-EDU-08</t>
  </si>
  <si>
    <t>FAC-EDU-09</t>
  </si>
  <si>
    <t>Enquire about requests received by Faculty of Education; test log and escalation to DPO.</t>
  </si>
  <si>
    <t>FAC-EDU-10</t>
  </si>
  <si>
    <t>Inspect records rooms/cabinets; review user access list for Teaching practice files, results sheets and confirm leavers are removed.</t>
  </si>
  <si>
    <t>FAC-EDU-11</t>
  </si>
  <si>
    <t>FAC-EDU-12</t>
  </si>
  <si>
    <t>Vendors/partners processing personal data for Faculty of Education have Data Processing Agreements and were vetted.</t>
  </si>
  <si>
    <t>List third parties receiving data from Faculty of Education; inspect DPAs against Art. 34(2).</t>
  </si>
  <si>
    <t>FAC-EDU-13</t>
  </si>
  <si>
    <t>Assess whether Faculty of Education's processing triggers Art. 28(3); inspect DPIA and DPO sign-off.</t>
  </si>
  <si>
    <t>FAC-EDU-14</t>
  </si>
  <si>
    <t>Identify foreign tools/partners used by Faculty of Education (e.g., Google Workspace, Zoom, foreign institutions) and confirm transfer basis.</t>
  </si>
  <si>
    <t>FAC-EDU-15</t>
  </si>
  <si>
    <t>Interview 3 staff on breach reporting; review incidents in Faculty of Education during the year and escalation timestamps.</t>
  </si>
  <si>
    <t>FAC-EDU-16</t>
  </si>
  <si>
    <t>Compare training attendance to staff list of Faculty of Education; confirm basic privacy checklist is available.</t>
  </si>
  <si>
    <t>FAC-EDU-17</t>
  </si>
  <si>
    <t>FAC-EDU-18</t>
  </si>
  <si>
    <t>Review results of routine checks performed in Faculty of Education during the year.</t>
  </si>
  <si>
    <t>FAC-EDU-19</t>
  </si>
  <si>
    <t>Confirm Faculty of Education submissions for H1 and H2 reports.</t>
  </si>
  <si>
    <t>FAC-EDU-20</t>
  </si>
  <si>
    <t>Enquire about new tools adopted by Faculty of Education (incl. AI tools); inspect approvals/DPIAs.</t>
  </si>
  <si>
    <t>FAC-EDU-21</t>
  </si>
  <si>
    <t>Review decisions based on personal data in Faculty of Education (e.g., selection, discipline) for fairness and transparency.</t>
  </si>
  <si>
    <t>FAC-EDU-22</t>
  </si>
  <si>
    <t>Obtain prior-year findings for Faculty of Education; verify implementation of each agreed action.</t>
  </si>
  <si>
    <t>FAC-EDU-23</t>
  </si>
  <si>
    <t>Pupils' data (minors)</t>
  </si>
  <si>
    <t>Research and teaching practice involving pupils has school and parental consent; pupils' data is minimised.</t>
  </si>
  <si>
    <t>Review 5 student projects/teaching practice files involving pupils for consent and anonymisation.</t>
  </si>
  <si>
    <t>Consent letters; project files</t>
  </si>
  <si>
    <t>FAC-EDU-24</t>
  </si>
  <si>
    <t>Micro-teaching recordings</t>
  </si>
  <si>
    <t>GAID Art. 17, 49(3)</t>
  </si>
  <si>
    <t>Micro-teaching videos have consent and defined retention.</t>
  </si>
  <si>
    <t>Inspect storage and retention of recordings.</t>
  </si>
  <si>
    <t>Recording archive</t>
  </si>
  <si>
    <t>Compliance Audit Work Plan — Faculty of Engineering</t>
  </si>
  <si>
    <t>Students, industry supervisors</t>
  </si>
  <si>
    <t>Student records, SIWES placement data, project data</t>
  </si>
  <si>
    <t>Results sheets, SIWES logbooks/portal</t>
  </si>
  <si>
    <t>FAC-ENG-01</t>
  </si>
  <si>
    <t>Walk through Faculty of Engineering's key processing (SIWES placement, labs, examinations, final-year projects) and confirm each activity is captured in the ROPA with purpose, data categories, recipients and retention.</t>
  </si>
  <si>
    <t>FAC-ENG-02</t>
  </si>
  <si>
    <t>Inventory data held (Student records, SIWES placement data, project data); flag sensitive categories and confirm they are recorded as such.</t>
  </si>
  <si>
    <t>FAC-ENG-03</t>
  </si>
  <si>
    <t>FAC-ENG-04</t>
  </si>
  <si>
    <t>Identify Art. 18(1) activities in Faculty of Engineering; test consent capture, records and ease of withdrawal for a sample of 5.</t>
  </si>
  <si>
    <t>FAC-ENG-05</t>
  </si>
  <si>
    <t>Collect all forms/portals used by Faculty of Engineering; check each notice against Art. 27(3)(a)-(j).</t>
  </si>
  <si>
    <t>FAC-ENG-06</t>
  </si>
  <si>
    <t>Review fields on Faculty of Engineering forms and systems (Results sheets, SIWES logbooks/portal); identify excessive fields (e.g., religion, NIN, BVN) not justified by purpose.</t>
  </si>
  <si>
    <t>FAC-ENG-07</t>
  </si>
  <si>
    <t>FAC-ENG-08</t>
  </si>
  <si>
    <t>FAC-ENG-09</t>
  </si>
  <si>
    <t>Enquire about requests received by Faculty of Engineering; test log and escalation to DPO.</t>
  </si>
  <si>
    <t>FAC-ENG-10</t>
  </si>
  <si>
    <t>Inspect records rooms/cabinets; review user access list for Results sheets, SIWES logbooks/portal and confirm leavers are removed.</t>
  </si>
  <si>
    <t>FAC-ENG-11</t>
  </si>
  <si>
    <t>FAC-ENG-12</t>
  </si>
  <si>
    <t>Vendors/partners processing personal data for Faculty of Engineering have Data Processing Agreements and were vetted.</t>
  </si>
  <si>
    <t>List third parties receiving data from Faculty of Engineering; inspect DPAs against Art. 34(2).</t>
  </si>
  <si>
    <t>FAC-ENG-13</t>
  </si>
  <si>
    <t>Assess whether Faculty of Engineering's processing triggers Art. 28(3); inspect DPIA and DPO sign-off.</t>
  </si>
  <si>
    <t>FAC-ENG-14</t>
  </si>
  <si>
    <t>Identify foreign tools/partners used by Faculty of Engineering (e.g., Google Workspace, Zoom, foreign institutions) and confirm transfer basis.</t>
  </si>
  <si>
    <t>FAC-ENG-15</t>
  </si>
  <si>
    <t>Interview 3 staff on breach reporting; review incidents in Faculty of Engineering during the year and escalation timestamps.</t>
  </si>
  <si>
    <t>FAC-ENG-16</t>
  </si>
  <si>
    <t>Compare training attendance to staff list of Faculty of Engineering; confirm basic privacy checklist is available.</t>
  </si>
  <si>
    <t>FAC-ENG-17</t>
  </si>
  <si>
    <t>FAC-ENG-18</t>
  </si>
  <si>
    <t>Review results of routine checks performed in Faculty of Engineering during the year.</t>
  </si>
  <si>
    <t>FAC-ENG-19</t>
  </si>
  <si>
    <t>Confirm Faculty of Engineering submissions for H1 and H2 reports.</t>
  </si>
  <si>
    <t>FAC-ENG-20</t>
  </si>
  <si>
    <t>Enquire about new tools adopted by Faculty of Engineering (incl. AI tools); inspect approvals/DPIAs.</t>
  </si>
  <si>
    <t>FAC-ENG-21</t>
  </si>
  <si>
    <t>Review decisions based on personal data in Faculty of Engineering (e.g., selection, discipline) for fairness and transparency.</t>
  </si>
  <si>
    <t>FAC-ENG-22</t>
  </si>
  <si>
    <t>Obtain prior-year findings for Faculty of Engineering; verify implementation of each agreed action.</t>
  </si>
  <si>
    <t>FAC-ENG-23</t>
  </si>
  <si>
    <t>SIWES data sharing</t>
  </si>
  <si>
    <t>Student data shared with ITF and host companies is limited and covered by legal basis/agreements.</t>
  </si>
  <si>
    <t>Map data shared on SIWES forms and with host employers.</t>
  </si>
  <si>
    <t>SIWES forms; ITF returns</t>
  </si>
  <si>
    <t>Compliance Audit Work Plan — Faculty of Law</t>
  </si>
  <si>
    <t>Students, legal clinic clients, Law School</t>
  </si>
  <si>
    <t>Student records, legal clinic client files (often sensitive), moot records</t>
  </si>
  <si>
    <t>Law clinic case files, results sheets</t>
  </si>
  <si>
    <t>FAC-LAW-01</t>
  </si>
  <si>
    <t>Walk through Faculty of Law's key processing (law clinic services, examinations, Law School enrolment) and confirm each activity is captured in the ROPA with purpose, data categories, recipients and retention.</t>
  </si>
  <si>
    <t>FAC-LAW-02</t>
  </si>
  <si>
    <t>Inventory data held (Student records, legal clinic client files (often sensitive), moot records); flag sensitive categories and confirm they are recorded as such.</t>
  </si>
  <si>
    <t>FAC-LAW-03</t>
  </si>
  <si>
    <t>FAC-LAW-04</t>
  </si>
  <si>
    <t>Identify Art. 18(1) activities in Faculty of Law; test consent capture, records and ease of withdrawal for a sample of 5.</t>
  </si>
  <si>
    <t>FAC-LAW-05</t>
  </si>
  <si>
    <t>Collect all forms/portals used by Faculty of Law; check each notice against Art. 27(3)(a)-(j).</t>
  </si>
  <si>
    <t>FAC-LAW-06</t>
  </si>
  <si>
    <t>Review fields on Faculty of Law forms and systems (Law clinic case files, results sheets); identify excessive fields (e.g., religion, NIN, BVN) not justified by purpose.</t>
  </si>
  <si>
    <t>FAC-LAW-07</t>
  </si>
  <si>
    <t>FAC-LAW-08</t>
  </si>
  <si>
    <t>FAC-LAW-09</t>
  </si>
  <si>
    <t>Enquire about requests received by Faculty of Law; test log and escalation to DPO.</t>
  </si>
  <si>
    <t>FAC-LAW-10</t>
  </si>
  <si>
    <t>Inspect records rooms/cabinets; review user access list for Law clinic case files, results sheets and confirm leavers are removed.</t>
  </si>
  <si>
    <t>FAC-LAW-11</t>
  </si>
  <si>
    <t>FAC-LAW-12</t>
  </si>
  <si>
    <t>Vendors/partners processing personal data for Faculty of Law have Data Processing Agreements and were vetted.</t>
  </si>
  <si>
    <t>List third parties receiving data from Faculty of Law; inspect DPAs against Art. 34(2).</t>
  </si>
  <si>
    <t>FAC-LAW-13</t>
  </si>
  <si>
    <t>Assess whether Faculty of Law's processing triggers Art. 28(3); inspect DPIA and DPO sign-off.</t>
  </si>
  <si>
    <t>FAC-LAW-14</t>
  </si>
  <si>
    <t>Identify foreign tools/partners used by Faculty of Law (e.g., Google Workspace, Zoom, foreign institutions) and confirm transfer basis.</t>
  </si>
  <si>
    <t>FAC-LAW-15</t>
  </si>
  <si>
    <t>Interview 3 staff on breach reporting; review incidents in Faculty of Law during the year and escalation timestamps.</t>
  </si>
  <si>
    <t>FAC-LAW-16</t>
  </si>
  <si>
    <t>Compare training attendance to staff list of Faculty of Law; confirm basic privacy checklist is available.</t>
  </si>
  <si>
    <t>FAC-LAW-17</t>
  </si>
  <si>
    <t>FAC-LAW-18</t>
  </si>
  <si>
    <t>Review results of routine checks performed in Faculty of Law during the year.</t>
  </si>
  <si>
    <t>FAC-LAW-19</t>
  </si>
  <si>
    <t>Confirm Faculty of Law submissions for H1 and H2 reports.</t>
  </si>
  <si>
    <t>FAC-LAW-20</t>
  </si>
  <si>
    <t>Enquire about new tools adopted by Faculty of Law (incl. AI tools); inspect approvals/DPIAs.</t>
  </si>
  <si>
    <t>FAC-LAW-21</t>
  </si>
  <si>
    <t>Review decisions based on personal data in Faculty of Law (e.g., selection, discipline) for fairness and transparency.</t>
  </si>
  <si>
    <t>FAC-LAW-22</t>
  </si>
  <si>
    <t>Obtain prior-year findings for Faculty of Law; verify implementation of each agreed action.</t>
  </si>
  <si>
    <t>FAC-LAW-23</t>
  </si>
  <si>
    <t>Law clinic client files</t>
  </si>
  <si>
    <t>NDPA s.30, s.39; GAID Art. 17</t>
  </si>
  <si>
    <t>Law clinic client data (incl. criminal/sensitive data) has consent, confidentiality undertakings from student volunteers and secure storage.</t>
  </si>
  <si>
    <t>Inspect 5 client files, confidentiality undertakings and storage.</t>
  </si>
  <si>
    <t>Client files; undertakings</t>
  </si>
  <si>
    <t>FAC-LAW-24</t>
  </si>
  <si>
    <t>Law School referrals</t>
  </si>
  <si>
    <t>GAID Art. 15</t>
  </si>
  <si>
    <t>Data sent to Nigerian Law School is limited to requirements.</t>
  </si>
  <si>
    <t>Review data fields sent for Law School admission.</t>
  </si>
  <si>
    <t>Referral forms</t>
  </si>
  <si>
    <t>Compliance Audit Work Plan — Faculty of Management Sciences</t>
  </si>
  <si>
    <t>Students, survey respondents, SIWES employers</t>
  </si>
  <si>
    <t>Student records, research survey data, SIWES data</t>
  </si>
  <si>
    <t>Results sheets, survey tools</t>
  </si>
  <si>
    <t>FAC-MS-01</t>
  </si>
  <si>
    <t>Walk through Faculty of Management Sciences's key processing (examinations, student research surveys, SIWES) and confirm each activity is captured in the ROPA with purpose, data categories, recipients and retention.</t>
  </si>
  <si>
    <t>FAC-MS-02</t>
  </si>
  <si>
    <t>Inventory data held (Student records, research survey data, SIWES data); flag sensitive categories and confirm they are recorded as such.</t>
  </si>
  <si>
    <t>FAC-MS-03</t>
  </si>
  <si>
    <t>FAC-MS-04</t>
  </si>
  <si>
    <t>Identify Art. 18(1) activities in Faculty of Management Sciences; test consent capture, records and ease of withdrawal for a sample of 5.</t>
  </si>
  <si>
    <t>FAC-MS-05</t>
  </si>
  <si>
    <t>Collect all forms/portals used by Faculty of Management Sciences; check each notice against Art. 27(3)(a)-(j).</t>
  </si>
  <si>
    <t>FAC-MS-06</t>
  </si>
  <si>
    <t>Review fields on Faculty of Management Sciences forms and systems (Results sheets, survey tools); identify excessive fields (e.g., religion, NIN, BVN) not justified by purpose.</t>
  </si>
  <si>
    <t>FAC-MS-07</t>
  </si>
  <si>
    <t>FAC-MS-08</t>
  </si>
  <si>
    <t>FAC-MS-09</t>
  </si>
  <si>
    <t>Enquire about requests received by Faculty of Management Sciences; test log and escalation to DPO.</t>
  </si>
  <si>
    <t>FAC-MS-10</t>
  </si>
  <si>
    <t>Inspect records rooms/cabinets; review user access list for Results sheets, survey tools and confirm leavers are removed.</t>
  </si>
  <si>
    <t>FAC-MS-11</t>
  </si>
  <si>
    <t>FAC-MS-12</t>
  </si>
  <si>
    <t>Vendors/partners processing personal data for Faculty of Management Sciences have Data Processing Agreements and were vetted.</t>
  </si>
  <si>
    <t>List third parties receiving data from Faculty of Management Sciences; inspect DPAs against Art. 34(2).</t>
  </si>
  <si>
    <t>FAC-MS-13</t>
  </si>
  <si>
    <t>Assess whether Faculty of Management Sciences's processing triggers Art. 28(3); inspect DPIA and DPO sign-off.</t>
  </si>
  <si>
    <t>FAC-MS-14</t>
  </si>
  <si>
    <t>Identify foreign tools/partners used by Faculty of Management Sciences (e.g., Google Workspace, Zoom, foreign institutions) and confirm transfer basis.</t>
  </si>
  <si>
    <t>FAC-MS-15</t>
  </si>
  <si>
    <t>Interview 3 staff on breach reporting; review incidents in Faculty of Management Sciences during the year and escalation timestamps.</t>
  </si>
  <si>
    <t>FAC-MS-16</t>
  </si>
  <si>
    <t>Compare training attendance to staff list of Faculty of Management Sciences; confirm basic privacy checklist is available.</t>
  </si>
  <si>
    <t>FAC-MS-17</t>
  </si>
  <si>
    <t>FAC-MS-18</t>
  </si>
  <si>
    <t>Review results of routine checks performed in Faculty of Management Sciences during the year.</t>
  </si>
  <si>
    <t>FAC-MS-19</t>
  </si>
  <si>
    <t>Confirm Faculty of Management Sciences submissions for H1 and H2 reports.</t>
  </si>
  <si>
    <t>FAC-MS-20</t>
  </si>
  <si>
    <t>Enquire about new tools adopted by Faculty of Management Sciences (incl. AI tools); inspect approvals/DPIAs.</t>
  </si>
  <si>
    <t>FAC-MS-21</t>
  </si>
  <si>
    <t>Review decisions based on personal data in Faculty of Management Sciences (e.g., selection, discipline) for fairness and transparency.</t>
  </si>
  <si>
    <t>FAC-MS-22</t>
  </si>
  <si>
    <t>Obtain prior-year findings for Faculty of Management Sciences; verify implementation of each agreed action.</t>
  </si>
  <si>
    <t>FAC-MS-23</t>
  </si>
  <si>
    <t>Student survey research</t>
  </si>
  <si>
    <t>GAID Art. 17, 27, 34</t>
  </si>
  <si>
    <t>Student research questionnaires include privacy information and consent; online survey tools are appropriate.</t>
  </si>
  <si>
    <t>Sample 5 project questionnaires for consent/privacy notice and anonymisation.</t>
  </si>
  <si>
    <t>Questionnaires</t>
  </si>
  <si>
    <t>Compliance Audit Work Plan — Faculty of Science</t>
  </si>
  <si>
    <t>Students, research participants</t>
  </si>
  <si>
    <t>Student records, lab research data, SIWES data</t>
  </si>
  <si>
    <t>Results sheets, lab records</t>
  </si>
  <si>
    <t>FAC-SCI-01</t>
  </si>
  <si>
    <t>Walk through Faculty of Science's key processing (laboratory work, examinations, research projects) and confirm each activity is captured in the ROPA with purpose, data categories, recipients and retention.</t>
  </si>
  <si>
    <t>FAC-SCI-02</t>
  </si>
  <si>
    <t>Inventory data held (Student records, lab research data, SIWES data); flag sensitive categories and confirm they are recorded as such.</t>
  </si>
  <si>
    <t>FAC-SCI-03</t>
  </si>
  <si>
    <t>FAC-SCI-04</t>
  </si>
  <si>
    <t>Identify Art. 18(1) activities in Faculty of Science; test consent capture, records and ease of withdrawal for a sample of 5.</t>
  </si>
  <si>
    <t>FAC-SCI-05</t>
  </si>
  <si>
    <t>Collect all forms/portals used by Faculty of Science; check each notice against Art. 27(3)(a)-(j).</t>
  </si>
  <si>
    <t>FAC-SCI-06</t>
  </si>
  <si>
    <t>Review fields on Faculty of Science forms and systems (Results sheets, lab records); identify excessive fields (e.g., religion, NIN, BVN) not justified by purpose.</t>
  </si>
  <si>
    <t>FAC-SCI-07</t>
  </si>
  <si>
    <t>FAC-SCI-08</t>
  </si>
  <si>
    <t>FAC-SCI-09</t>
  </si>
  <si>
    <t>Enquire about requests received by Faculty of Science; test log and escalation to DPO.</t>
  </si>
  <si>
    <t>FAC-SCI-10</t>
  </si>
  <si>
    <t>Inspect records rooms/cabinets; review user access list for Results sheets, lab records and confirm leavers are removed.</t>
  </si>
  <si>
    <t>FAC-SCI-11</t>
  </si>
  <si>
    <t>FAC-SCI-12</t>
  </si>
  <si>
    <t>Vendors/partners processing personal data for Faculty of Science have Data Processing Agreements and were vetted.</t>
  </si>
  <si>
    <t>List third parties receiving data from Faculty of Science; inspect DPAs against Art. 34(2).</t>
  </si>
  <si>
    <t>FAC-SCI-13</t>
  </si>
  <si>
    <t>Assess whether Faculty of Science's processing triggers Art. 28(3); inspect DPIA and DPO sign-off.</t>
  </si>
  <si>
    <t>FAC-SCI-14</t>
  </si>
  <si>
    <t>Identify foreign tools/partners used by Faculty of Science (e.g., Google Workspace, Zoom, foreign institutions) and confirm transfer basis.</t>
  </si>
  <si>
    <t>FAC-SCI-15</t>
  </si>
  <si>
    <t>Interview 3 staff on breach reporting; review incidents in Faculty of Science during the year and escalation timestamps.</t>
  </si>
  <si>
    <t>FAC-SCI-16</t>
  </si>
  <si>
    <t>Compare training attendance to staff list of Faculty of Science; confirm basic privacy checklist is available.</t>
  </si>
  <si>
    <t>FAC-SCI-17</t>
  </si>
  <si>
    <t>FAC-SCI-18</t>
  </si>
  <si>
    <t>Review results of routine checks performed in Faculty of Science during the year.</t>
  </si>
  <si>
    <t>FAC-SCI-19</t>
  </si>
  <si>
    <t>Confirm Faculty of Science submissions for H1 and H2 reports.</t>
  </si>
  <si>
    <t>FAC-SCI-20</t>
  </si>
  <si>
    <t>Enquire about new tools adopted by Faculty of Science (incl. AI tools); inspect approvals/DPIAs.</t>
  </si>
  <si>
    <t>FAC-SCI-21</t>
  </si>
  <si>
    <t>Review decisions based on personal data in Faculty of Science (e.g., selection, discipline) for fairness and transparency.</t>
  </si>
  <si>
    <t>FAC-SCI-22</t>
  </si>
  <si>
    <t>Obtain prior-year findings for Faculty of Science; verify implementation of each agreed action.</t>
  </si>
  <si>
    <t>FAC-SCI-23</t>
  </si>
  <si>
    <t>Human subject samples</t>
  </si>
  <si>
    <t>Studies involving human samples (e.g., microbiology, biochemistry) have ethics approval, consent and anonymisation.</t>
  </si>
  <si>
    <t>Sample 3 projects involving human samples for ethics approval and coding of identities.</t>
  </si>
  <si>
    <t>Ethics approvals; sample logs</t>
  </si>
  <si>
    <t>Compliance Audit Work Plan — Faculty of Social Sciences</t>
  </si>
  <si>
    <t>Students, research participants, communities</t>
  </si>
  <si>
    <t>Student records, interview and survey data (political opinion, religion, ethnicity)</t>
  </si>
  <si>
    <t>Results sheets, field data, cloud storage</t>
  </si>
  <si>
    <t>FAC-SS-01</t>
  </si>
  <si>
    <t>Walk through Faculty of Social Sciences's key processing (field research, surveys, examinations) and confirm each activity is captured in the ROPA with purpose, data categories, recipients and retention.</t>
  </si>
  <si>
    <t>FAC-SS-02</t>
  </si>
  <si>
    <t>Inventory data held (Student records, interview and survey data (political opinion, religion, ethnicity)); flag sensitive categories and confirm they are recorded as such.</t>
  </si>
  <si>
    <t>FAC-SS-03</t>
  </si>
  <si>
    <t>FAC-SS-04</t>
  </si>
  <si>
    <t>Identify Art. 18(1) activities in Faculty of Social Sciences; test consent capture, records and ease of withdrawal for a sample of 5.</t>
  </si>
  <si>
    <t>FAC-SS-05</t>
  </si>
  <si>
    <t>Collect all forms/portals used by Faculty of Social Sciences; check each notice against Art. 27(3)(a)-(j).</t>
  </si>
  <si>
    <t>FAC-SS-06</t>
  </si>
  <si>
    <t>Review fields on Faculty of Social Sciences forms and systems (Results sheets, field data, cloud storage); identify excessive fields (e.g., religion, NIN, BVN) not justified by purpose.</t>
  </si>
  <si>
    <t>FAC-SS-07</t>
  </si>
  <si>
    <t>FAC-SS-08</t>
  </si>
  <si>
    <t>FAC-SS-09</t>
  </si>
  <si>
    <t>Enquire about requests received by Faculty of Social Sciences; test log and escalation to DPO.</t>
  </si>
  <si>
    <t>FAC-SS-10</t>
  </si>
  <si>
    <t>Inspect records rooms/cabinets; review user access list for Results sheets, field data, cloud storage and confirm leavers are removed.</t>
  </si>
  <si>
    <t>FAC-SS-11</t>
  </si>
  <si>
    <t>FAC-SS-12</t>
  </si>
  <si>
    <t>Vendors/partners processing personal data for Faculty of Social Sciences have Data Processing Agreements and were vetted.</t>
  </si>
  <si>
    <t>List third parties receiving data from Faculty of Social Sciences; inspect DPAs against Art. 34(2).</t>
  </si>
  <si>
    <t>FAC-SS-13</t>
  </si>
  <si>
    <t>Assess whether Faculty of Social Sciences's processing triggers Art. 28(3); inspect DPIA and DPO sign-off.</t>
  </si>
  <si>
    <t>FAC-SS-14</t>
  </si>
  <si>
    <t>Identify foreign tools/partners used by Faculty of Social Sciences (e.g., Google Workspace, Zoom, foreign institutions) and confirm transfer basis.</t>
  </si>
  <si>
    <t>FAC-SS-15</t>
  </si>
  <si>
    <t>Interview 3 staff on breach reporting; review incidents in Faculty of Social Sciences during the year and escalation timestamps.</t>
  </si>
  <si>
    <t>FAC-SS-16</t>
  </si>
  <si>
    <t>Compare training attendance to staff list of Faculty of Social Sciences; confirm basic privacy checklist is available.</t>
  </si>
  <si>
    <t>FAC-SS-17</t>
  </si>
  <si>
    <t>FAC-SS-18</t>
  </si>
  <si>
    <t>Review results of routine checks performed in Faculty of Social Sciences during the year.</t>
  </si>
  <si>
    <t>FAC-SS-19</t>
  </si>
  <si>
    <t>Confirm Faculty of Social Sciences submissions for H1 and H2 reports.</t>
  </si>
  <si>
    <t>FAC-SS-20</t>
  </si>
  <si>
    <t>Enquire about new tools adopted by Faculty of Social Sciences (incl. AI tools); inspect approvals/DPIAs.</t>
  </si>
  <si>
    <t>FAC-SS-21</t>
  </si>
  <si>
    <t>Review decisions based on personal data in Faculty of Social Sciences (e.g., selection, discipline) for fairness and transparency.</t>
  </si>
  <si>
    <t>FAC-SS-22</t>
  </si>
  <si>
    <t>Obtain prior-year findings for Faculty of Social Sciences; verify implementation of each agreed action.</t>
  </si>
  <si>
    <t>FAC-SS-23</t>
  </si>
  <si>
    <t>Sensitive research data</t>
  </si>
  <si>
    <t>NDPA s.30; GAID Art. 18(1)(b), 28(3)(d)</t>
  </si>
  <si>
    <t>Research collecting sensitive attributes has explicit consent, DPIA where large-scale and pseudonymisation.</t>
  </si>
  <si>
    <t>Sample 5 research instruments; confirm explicit consent and pseudonymised datasets.</t>
  </si>
  <si>
    <t>Instruments; datasets</t>
  </si>
  <si>
    <t>FAC-SS-24</t>
  </si>
  <si>
    <t>Vulnerable participants</t>
  </si>
  <si>
    <t>GAID Art. 28(3)(e) &amp; Sch. 6</t>
  </si>
  <si>
    <t>Research involving vulnerable groups (IDPs, minors) assessed using Data Subject Vulnerability Indexes.</t>
  </si>
  <si>
    <t>Identify projects with vulnerable groups; inspect DPIA/vulnerability assessment.</t>
  </si>
  <si>
    <t>DPIAs</t>
  </si>
  <si>
    <t>Compliance Audit Work Plan — Faculty of Agriculture</t>
  </si>
  <si>
    <t>Students, farmers, farm workers</t>
  </si>
  <si>
    <t>Student records, farmer survey data, farm workers' records</t>
  </si>
  <si>
    <t>Results sheets, extension programme records</t>
  </si>
  <si>
    <t>FAC-AGR-01</t>
  </si>
  <si>
    <t>Walk through Faculty of Agriculture's key processing (farm practice, extension services, examinations) and confirm each activity is captured in the ROPA with purpose, data categories, recipients and retention.</t>
  </si>
  <si>
    <t>FAC-AGR-02</t>
  </si>
  <si>
    <t>Inventory data held (Student records, farmer survey data, farm workers' records); flag sensitive categories and confirm they are recorded as such.</t>
  </si>
  <si>
    <t>FAC-AGR-03</t>
  </si>
  <si>
    <t>FAC-AGR-04</t>
  </si>
  <si>
    <t>Identify Art. 18(1) activities in Faculty of Agriculture; test consent capture, records and ease of withdrawal for a sample of 5.</t>
  </si>
  <si>
    <t>FAC-AGR-05</t>
  </si>
  <si>
    <t>Collect all forms/portals used by Faculty of Agriculture; check each notice against Art. 27(3)(a)-(j).</t>
  </si>
  <si>
    <t>FAC-AGR-06</t>
  </si>
  <si>
    <t>Review fields on Faculty of Agriculture forms and systems (Results sheets, extension programme records); identify excessive fields (e.g., religion, NIN, BVN) not justified by purpose.</t>
  </si>
  <si>
    <t>FAC-AGR-07</t>
  </si>
  <si>
    <t>FAC-AGR-08</t>
  </si>
  <si>
    <t>FAC-AGR-09</t>
  </si>
  <si>
    <t>Enquire about requests received by Faculty of Agriculture; test log and escalation to DPO.</t>
  </si>
  <si>
    <t>FAC-AGR-10</t>
  </si>
  <si>
    <t>Inspect records rooms/cabinets; review user access list for Results sheets, extension programme records and confirm leavers are removed.</t>
  </si>
  <si>
    <t>FAC-AGR-11</t>
  </si>
  <si>
    <t>FAC-AGR-12</t>
  </si>
  <si>
    <t>Vendors/partners processing personal data for Faculty of Agriculture have Data Processing Agreements and were vetted.</t>
  </si>
  <si>
    <t>List third parties receiving data from Faculty of Agriculture; inspect DPAs against Art. 34(2).</t>
  </si>
  <si>
    <t>FAC-AGR-13</t>
  </si>
  <si>
    <t>Assess whether Faculty of Agriculture's processing triggers Art. 28(3); inspect DPIA and DPO sign-off.</t>
  </si>
  <si>
    <t>FAC-AGR-14</t>
  </si>
  <si>
    <t>Identify foreign tools/partners used by Faculty of Agriculture (e.g., Google Workspace, Zoom, foreign institutions) and confirm transfer basis.</t>
  </si>
  <si>
    <t>FAC-AGR-15</t>
  </si>
  <si>
    <t>Interview 3 staff on breach reporting; review incidents in Faculty of Agriculture during the year and escalation timestamps.</t>
  </si>
  <si>
    <t>FAC-AGR-16</t>
  </si>
  <si>
    <t>Compare training attendance to staff list of Faculty of Agriculture; confirm basic privacy checklist is available.</t>
  </si>
  <si>
    <t>FAC-AGR-17</t>
  </si>
  <si>
    <t>FAC-AGR-18</t>
  </si>
  <si>
    <t>Review results of routine checks performed in Faculty of Agriculture during the year.</t>
  </si>
  <si>
    <t>FAC-AGR-19</t>
  </si>
  <si>
    <t>Confirm Faculty of Agriculture submissions for H1 and H2 reports.</t>
  </si>
  <si>
    <t>FAC-AGR-20</t>
  </si>
  <si>
    <t>Enquire about new tools adopted by Faculty of Agriculture (incl. AI tools); inspect approvals/DPIAs.</t>
  </si>
  <si>
    <t>FAC-AGR-21</t>
  </si>
  <si>
    <t>Review decisions based on personal data in Faculty of Agriculture (e.g., selection, discipline) for fairness and transparency.</t>
  </si>
  <si>
    <t>FAC-AGR-22</t>
  </si>
  <si>
    <t>Obtain prior-year findings for Faculty of Agriculture; verify implementation of each agreed action.</t>
  </si>
  <si>
    <t>FAC-AGR-23</t>
  </si>
  <si>
    <t>Farmer data &amp; extension</t>
  </si>
  <si>
    <t>GAID Art. 27(2)</t>
  </si>
  <si>
    <t>Farmers receive privacy information in a language they understand before data collection.</t>
  </si>
  <si>
    <t>Review extension survey process and language of notices.</t>
  </si>
  <si>
    <t>Field instruments</t>
  </si>
  <si>
    <t>Compliance Audit Work Plan — Faculty of Environmental Sciences</t>
  </si>
  <si>
    <t>Students, communities surveyed</t>
  </si>
  <si>
    <t>Student records, GIS/geolocation data, drone imagery</t>
  </si>
  <si>
    <t>GIS systems, drone footage archives</t>
  </si>
  <si>
    <t>FAC-ES-01</t>
  </si>
  <si>
    <t>Walk through Faculty of Environmental Sciences's key processing (studio work, field surveys, drone/GIS mapping) and confirm each activity is captured in the ROPA with purpose, data categories, recipients and retention.</t>
  </si>
  <si>
    <t>FAC-ES-02</t>
  </si>
  <si>
    <t>Inventory data held (Student records, GIS/geolocation data, drone imagery); flag sensitive categories and confirm they are recorded as such.</t>
  </si>
  <si>
    <t>FAC-ES-03</t>
  </si>
  <si>
    <t>FAC-ES-04</t>
  </si>
  <si>
    <t>Identify Art. 18(1) activities in Faculty of Environmental Sciences; test consent capture, records and ease of withdrawal for a sample of 5.</t>
  </si>
  <si>
    <t>FAC-ES-05</t>
  </si>
  <si>
    <t>Collect all forms/portals used by Faculty of Environmental Sciences; check each notice against Art. 27(3)(a)-(j).</t>
  </si>
  <si>
    <t>FAC-ES-06</t>
  </si>
  <si>
    <t>Review fields on Faculty of Environmental Sciences forms and systems (GIS systems, drone footage archives); identify excessive fields (e.g., religion, NIN, BVN) not justified by purpose.</t>
  </si>
  <si>
    <t>FAC-ES-07</t>
  </si>
  <si>
    <t>FAC-ES-08</t>
  </si>
  <si>
    <t>FAC-ES-09</t>
  </si>
  <si>
    <t>Enquire about requests received by Faculty of Environmental Sciences; test log and escalation to DPO.</t>
  </si>
  <si>
    <t>FAC-ES-10</t>
  </si>
  <si>
    <t>Inspect records rooms/cabinets; review user access list for GIS systems, drone footage archives and confirm leavers are removed.</t>
  </si>
  <si>
    <t>FAC-ES-11</t>
  </si>
  <si>
    <t>FAC-ES-12</t>
  </si>
  <si>
    <t>Vendors/partners processing personal data for Faculty of Environmental Sciences have Data Processing Agreements and were vetted.</t>
  </si>
  <si>
    <t>List third parties receiving data from Faculty of Environmental Sciences; inspect DPAs against Art. 34(2).</t>
  </si>
  <si>
    <t>FAC-ES-13</t>
  </si>
  <si>
    <t>Assess whether Faculty of Environmental Sciences's processing triggers Art. 28(3); inspect DPIA and DPO sign-off.</t>
  </si>
  <si>
    <t>FAC-ES-14</t>
  </si>
  <si>
    <t>Identify foreign tools/partners used by Faculty of Environmental Sciences (e.g., Google Workspace, Zoom, foreign institutions) and confirm transfer basis.</t>
  </si>
  <si>
    <t>FAC-ES-15</t>
  </si>
  <si>
    <t>Interview 3 staff on breach reporting; review incidents in Faculty of Environmental Sciences during the year and escalation timestamps.</t>
  </si>
  <si>
    <t>FAC-ES-16</t>
  </si>
  <si>
    <t>Compare training attendance to staff list of Faculty of Environmental Sciences; confirm basic privacy checklist is available.</t>
  </si>
  <si>
    <t>FAC-ES-17</t>
  </si>
  <si>
    <t>FAC-ES-18</t>
  </si>
  <si>
    <t>Review results of routine checks performed in Faculty of Environmental Sciences during the year.</t>
  </si>
  <si>
    <t>FAC-ES-19</t>
  </si>
  <si>
    <t>Confirm Faculty of Environmental Sciences submissions for H1 and H2 reports.</t>
  </si>
  <si>
    <t>FAC-ES-20</t>
  </si>
  <si>
    <t>Enquire about new tools adopted by Faculty of Environmental Sciences (incl. AI tools); inspect approvals/DPIAs.</t>
  </si>
  <si>
    <t>FAC-ES-21</t>
  </si>
  <si>
    <t>Review decisions based on personal data in Faculty of Environmental Sciences (e.g., selection, discipline) for fairness and transparency.</t>
  </si>
  <si>
    <t>FAC-ES-22</t>
  </si>
  <si>
    <t>Obtain prior-year findings for Faculty of Environmental Sciences; verify implementation of each agreed action.</t>
  </si>
  <si>
    <t>FAC-ES-23</t>
  </si>
  <si>
    <t>Geolocation &amp; drone imagery</t>
  </si>
  <si>
    <t>GAID Art. 28(3)(c), 43</t>
  </si>
  <si>
    <t>Drone and geolocation surveys that can identify people/homes are assessed for privacy and images of individuals minimised.</t>
  </si>
  <si>
    <t>Review drone/GIS projects for DPIA/risk assessment and blurring practice.</t>
  </si>
  <si>
    <t>Project files; imagery</t>
  </si>
  <si>
    <t>Compliance Audit Work Plan — Faculty of Pharmaceutical Sciences</t>
  </si>
  <si>
    <t>Students, patients, trial participants</t>
  </si>
  <si>
    <t>Student records, patient medication data, clinical trial data</t>
  </si>
  <si>
    <t>Results sheets, trial records</t>
  </si>
  <si>
    <t>FAC-PS-01</t>
  </si>
  <si>
    <t>Walk through Faculty of Pharmaceutical Sciences's key processing (clinical pharmacy placements, drug research, examinations) and confirm each activity is captured in the ROPA with purpose, data categories, recipients and retention.</t>
  </si>
  <si>
    <t>FAC-PS-02</t>
  </si>
  <si>
    <t>Inventory data held (Student records, patient medication data, clinical trial data); flag sensitive categories and confirm they are recorded as such.</t>
  </si>
  <si>
    <t>FAC-PS-03</t>
  </si>
  <si>
    <t>FAC-PS-04</t>
  </si>
  <si>
    <t>Identify Art. 18(1) activities in Faculty of Pharmaceutical Sciences; test consent capture, records and ease of withdrawal for a sample of 5.</t>
  </si>
  <si>
    <t>FAC-PS-05</t>
  </si>
  <si>
    <t>Collect all forms/portals used by Faculty of Pharmaceutical Sciences; check each notice against Art. 27(3)(a)-(j).</t>
  </si>
  <si>
    <t>FAC-PS-06</t>
  </si>
  <si>
    <t>Review fields on Faculty of Pharmaceutical Sciences forms and systems (Results sheets, trial records); identify excessive fields (e.g., religion, NIN, BVN) not justified by purpose.</t>
  </si>
  <si>
    <t>FAC-PS-07</t>
  </si>
  <si>
    <t>FAC-PS-08</t>
  </si>
  <si>
    <t>FAC-PS-09</t>
  </si>
  <si>
    <t>Enquire about requests received by Faculty of Pharmaceutical Sciences; test log and escalation to DPO.</t>
  </si>
  <si>
    <t>FAC-PS-10</t>
  </si>
  <si>
    <t>Inspect records rooms/cabinets; review user access list for Results sheets, trial records and confirm leavers are removed.</t>
  </si>
  <si>
    <t>FAC-PS-11</t>
  </si>
  <si>
    <t>FAC-PS-12</t>
  </si>
  <si>
    <t>Vendors/partners processing personal data for Faculty of Pharmaceutical Sciences have Data Processing Agreements and were vetted.</t>
  </si>
  <si>
    <t>List third parties receiving data from Faculty of Pharmaceutical Sciences; inspect DPAs against Art. 34(2).</t>
  </si>
  <si>
    <t>FAC-PS-13</t>
  </si>
  <si>
    <t>Assess whether Faculty of Pharmaceutical Sciences's processing triggers Art. 28(3); inspect DPIA and DPO sign-off.</t>
  </si>
  <si>
    <t>FAC-PS-14</t>
  </si>
  <si>
    <t>Identify foreign tools/partners used by Faculty of Pharmaceutical Sciences (e.g., Google Workspace, Zoom, foreign institutions) and confirm transfer basis.</t>
  </si>
  <si>
    <t>FAC-PS-15</t>
  </si>
  <si>
    <t>Interview 3 staff on breach reporting; review incidents in Faculty of Pharmaceutical Sciences during the year and escalation timestamps.</t>
  </si>
  <si>
    <t>FAC-PS-16</t>
  </si>
  <si>
    <t>Compare training attendance to staff list of Faculty of Pharmaceutical Sciences; confirm basic privacy checklist is available.</t>
  </si>
  <si>
    <t>FAC-PS-17</t>
  </si>
  <si>
    <t>FAC-PS-18</t>
  </si>
  <si>
    <t>Review results of routine checks performed in Faculty of Pharmaceutical Sciences during the year.</t>
  </si>
  <si>
    <t>FAC-PS-19</t>
  </si>
  <si>
    <t>Confirm Faculty of Pharmaceutical Sciences submissions for H1 and H2 reports.</t>
  </si>
  <si>
    <t>FAC-PS-20</t>
  </si>
  <si>
    <t>Enquire about new tools adopted by Faculty of Pharmaceutical Sciences (incl. AI tools); inspect approvals/DPIAs.</t>
  </si>
  <si>
    <t>FAC-PS-21</t>
  </si>
  <si>
    <t>Review decisions based on personal data in Faculty of Pharmaceutical Sciences (e.g., selection, discipline) for fairness and transparency.</t>
  </si>
  <si>
    <t>FAC-PS-22</t>
  </si>
  <si>
    <t>Obtain prior-year findings for Faculty of Pharmaceutical Sciences; verify implementation of each agreed action.</t>
  </si>
  <si>
    <t>FAC-PS-23</t>
  </si>
  <si>
    <t>Clinical/trial data</t>
  </si>
  <si>
    <t>NDPA s.30; GAID Art. 28(3)(i)</t>
  </si>
  <si>
    <t>Drug research and clinical placements handling patient data have ethics approval, consent and DPIA.</t>
  </si>
  <si>
    <t>Sample research/placement records for consent, DPIA and pseudonymisation.</t>
  </si>
  <si>
    <t>Ethics approvals; DPIA</t>
  </si>
  <si>
    <t>Compliance Audit Work Plan — Faculty of Basic Medical Sciences</t>
  </si>
  <si>
    <t>Students, cadaver donors' families, research participants</t>
  </si>
  <si>
    <t>Student records, anatomical donor records, physiological research data</t>
  </si>
  <si>
    <t>Results sheets, donor registers, lab records</t>
  </si>
  <si>
    <t>FAC-BMS-01</t>
  </si>
  <si>
    <t>Walk through Faculty of Basic Medical Sciences's key processing (anatomy/dissection, physiology experiments, examinations) and confirm each activity is captured in the ROPA with purpose, data categories, recipients and retention.</t>
  </si>
  <si>
    <t>FAC-BMS-02</t>
  </si>
  <si>
    <t>Inventory data held (Student records, anatomical donor records, physiological research data); flag sensitive categories and confirm they are recorded as such.</t>
  </si>
  <si>
    <t>FAC-BMS-03</t>
  </si>
  <si>
    <t>FAC-BMS-04</t>
  </si>
  <si>
    <t>Identify Art. 18(1) activities in Faculty of Basic Medical Sciences; test consent capture, records and ease of withdrawal for a sample of 5.</t>
  </si>
  <si>
    <t>FAC-BMS-05</t>
  </si>
  <si>
    <t>Collect all forms/portals used by Faculty of Basic Medical Sciences; check each notice against Art. 27(3)(a)-(j).</t>
  </si>
  <si>
    <t>FAC-BMS-06</t>
  </si>
  <si>
    <t>Review fields on Faculty of Basic Medical Sciences forms and systems (Results sheets, donor registers, lab records); identify excessive fields (e.g., religion, NIN, BVN) not justified by purpose.</t>
  </si>
  <si>
    <t>FAC-BMS-07</t>
  </si>
  <si>
    <t>FAC-BMS-08</t>
  </si>
  <si>
    <t>FAC-BMS-09</t>
  </si>
  <si>
    <t>Enquire about requests received by Faculty of Basic Medical Sciences; test log and escalation to DPO.</t>
  </si>
  <si>
    <t>FAC-BMS-10</t>
  </si>
  <si>
    <t>Inspect records rooms/cabinets; review user access list for Results sheets, donor registers, lab records and confirm leavers are removed.</t>
  </si>
  <si>
    <t>FAC-BMS-11</t>
  </si>
  <si>
    <t>FAC-BMS-12</t>
  </si>
  <si>
    <t>Vendors/partners processing personal data for Faculty of Basic Medical Sciences have Data Processing Agreements and were vetted.</t>
  </si>
  <si>
    <t>List third parties receiving data from Faculty of Basic Medical Sciences; inspect DPAs against Art. 34(2).</t>
  </si>
  <si>
    <t>FAC-BMS-13</t>
  </si>
  <si>
    <t>Assess whether Faculty of Basic Medical Sciences's processing triggers Art. 28(3); inspect DPIA and DPO sign-off.</t>
  </si>
  <si>
    <t>FAC-BMS-14</t>
  </si>
  <si>
    <t>Identify foreign tools/partners used by Faculty of Basic Medical Sciences (e.g., Google Workspace, Zoom, foreign institutions) and confirm transfer basis.</t>
  </si>
  <si>
    <t>FAC-BMS-15</t>
  </si>
  <si>
    <t>Interview 3 staff on breach reporting; review incidents in Faculty of Basic Medical Sciences during the year and escalation timestamps.</t>
  </si>
  <si>
    <t>FAC-BMS-16</t>
  </si>
  <si>
    <t>Compare training attendance to staff list of Faculty of Basic Medical Sciences; confirm basic privacy checklist is available.</t>
  </si>
  <si>
    <t>FAC-BMS-17</t>
  </si>
  <si>
    <t>FAC-BMS-18</t>
  </si>
  <si>
    <t>Review results of routine checks performed in Faculty of Basic Medical Sciences during the year.</t>
  </si>
  <si>
    <t>FAC-BMS-19</t>
  </si>
  <si>
    <t>Confirm Faculty of Basic Medical Sciences submissions for H1 and H2 reports.</t>
  </si>
  <si>
    <t>FAC-BMS-20</t>
  </si>
  <si>
    <t>Enquire about new tools adopted by Faculty of Basic Medical Sciences (incl. AI tools); inspect approvals/DPIAs.</t>
  </si>
  <si>
    <t>FAC-BMS-21</t>
  </si>
  <si>
    <t>Review decisions based on personal data in Faculty of Basic Medical Sciences (e.g., selection, discipline) for fairness and transparency.</t>
  </si>
  <si>
    <t>FAC-BMS-22</t>
  </si>
  <si>
    <t>Obtain prior-year findings for Faculty of Basic Medical Sciences; verify implementation of each agreed action.</t>
  </si>
  <si>
    <t>FAC-BMS-23</t>
  </si>
  <si>
    <t>Donor &amp; biological data</t>
  </si>
  <si>
    <t>Cadaver/donor records and biological samples are handled with dignity, restricted access and lawful documentation.</t>
  </si>
  <si>
    <t>Inspect donor register access and documentation.</t>
  </si>
  <si>
    <t>Donor register</t>
  </si>
  <si>
    <t>FAC-BMS-24</t>
  </si>
  <si>
    <t>Genetic/biobank research</t>
  </si>
  <si>
    <t>GAID Art. 28(3)(d), 45</t>
  </si>
  <si>
    <t>Genetic or biobank data shared with foreign collaborators has DPIA and transfer safeguards.</t>
  </si>
  <si>
    <t>Identify genetic studies; inspect DPIA and MTA/transfer agreements.</t>
  </si>
  <si>
    <t>DPIA; MTAs</t>
  </si>
  <si>
    <t>Compliance Audit Work Plan — Faculty of Clinical Sciences</t>
  </si>
  <si>
    <t>Medical students, patients in teaching hospital</t>
  </si>
  <si>
    <t>Student records, patient case notes used in teaching, clinical photographs</t>
  </si>
  <si>
    <t>Teaching hospital EMR, case presentation files, WhatsApp groups</t>
  </si>
  <si>
    <t>FAC-CS-01</t>
  </si>
  <si>
    <t>Walk through Faculty of Clinical Sciences's key processing (clinical postings, case presentations, examinations) and confirm each activity is captured in the ROPA with purpose, data categories, recipients and retention.</t>
  </si>
  <si>
    <t>FAC-CS-02</t>
  </si>
  <si>
    <t>Inventory data held (Student records, patient case notes used in teaching, clinical photographs); flag sensitive categories and confirm they are recorded as such.</t>
  </si>
  <si>
    <t>FAC-CS-03</t>
  </si>
  <si>
    <t>FAC-CS-04</t>
  </si>
  <si>
    <t>Identify Art. 18(1) activities in Faculty of Clinical Sciences; test consent capture, records and ease of withdrawal for a sample of 5.</t>
  </si>
  <si>
    <t>FAC-CS-05</t>
  </si>
  <si>
    <t>Collect all forms/portals used by Faculty of Clinical Sciences; check each notice against Art. 27(3)(a)-(j).</t>
  </si>
  <si>
    <t>FAC-CS-06</t>
  </si>
  <si>
    <t>Review fields on Faculty of Clinical Sciences forms and systems (Teaching hospital EMR, case presentation files, WhatsApp groups); identify excessive fields (e.g., religion, NIN, BVN) not justified by purpose.</t>
  </si>
  <si>
    <t>FAC-CS-07</t>
  </si>
  <si>
    <t>FAC-CS-08</t>
  </si>
  <si>
    <t>FAC-CS-09</t>
  </si>
  <si>
    <t>Enquire about requests received by Faculty of Clinical Sciences; test log and escalation to DPO.</t>
  </si>
  <si>
    <t>FAC-CS-10</t>
  </si>
  <si>
    <t>Inspect records rooms/cabinets; review user access list for Teaching hospital EMR, case presentation files, WhatsApp groups and confirm leavers are removed.</t>
  </si>
  <si>
    <t>FAC-CS-11</t>
  </si>
  <si>
    <t>FAC-CS-12</t>
  </si>
  <si>
    <t>Vendors/partners processing personal data for Faculty of Clinical Sciences have Data Processing Agreements and were vetted.</t>
  </si>
  <si>
    <t>List third parties receiving data from Faculty of Clinical Sciences; inspect DPAs against Art. 34(2).</t>
  </si>
  <si>
    <t>FAC-CS-13</t>
  </si>
  <si>
    <t>Assess whether Faculty of Clinical Sciences's processing triggers Art. 28(3); inspect DPIA and DPO sign-off.</t>
  </si>
  <si>
    <t>FAC-CS-14</t>
  </si>
  <si>
    <t>Identify foreign tools/partners used by Faculty of Clinical Sciences (e.g., Google Workspace, Zoom, foreign institutions) and confirm transfer basis.</t>
  </si>
  <si>
    <t>FAC-CS-15</t>
  </si>
  <si>
    <t>Interview 3 staff on breach reporting; review incidents in Faculty of Clinical Sciences during the year and escalation timestamps.</t>
  </si>
  <si>
    <t>FAC-CS-16</t>
  </si>
  <si>
    <t>Compare training attendance to staff list of Faculty of Clinical Sciences; confirm basic privacy checklist is available.</t>
  </si>
  <si>
    <t>FAC-CS-17</t>
  </si>
  <si>
    <t>FAC-CS-18</t>
  </si>
  <si>
    <t>Review results of routine checks performed in Faculty of Clinical Sciences during the year.</t>
  </si>
  <si>
    <t>FAC-CS-19</t>
  </si>
  <si>
    <t>Confirm Faculty of Clinical Sciences submissions for H1 and H2 reports.</t>
  </si>
  <si>
    <t>FAC-CS-20</t>
  </si>
  <si>
    <t>Enquire about new tools adopted by Faculty of Clinical Sciences (incl. AI tools); inspect approvals/DPIAs.</t>
  </si>
  <si>
    <t>FAC-CS-21</t>
  </si>
  <si>
    <t>Review decisions based on personal data in Faculty of Clinical Sciences (e.g., selection, discipline) for fairness and transparency.</t>
  </si>
  <si>
    <t>FAC-CS-22</t>
  </si>
  <si>
    <t>Obtain prior-year findings for Faculty of Clinical Sciences; verify implementation of each agreed action.</t>
  </si>
  <si>
    <t>FAC-CS-23</t>
  </si>
  <si>
    <t>Patient data in teaching</t>
  </si>
  <si>
    <t>NDPA s.30; GAID Art. 15, 41</t>
  </si>
  <si>
    <t>Case presentations, theses and clinical photos are de-identified; patient consent obtained for identifiable images.</t>
  </si>
  <si>
    <t>Sample 5 case presentation slides/theses and clinical photos for identifiers.</t>
  </si>
  <si>
    <t>Presentation files; consent</t>
  </si>
  <si>
    <t>FAC-CS-24</t>
  </si>
  <si>
    <t>Messaging groups</t>
  </si>
  <si>
    <t>Patient information is not shared on personal messaging groups without safeguards.</t>
  </si>
  <si>
    <t>Interview residents/students; review policy on use of WhatsApp for clinical discussions.</t>
  </si>
  <si>
    <t>Policy; interview notes</t>
  </si>
  <si>
    <t>FAC-CS-25</t>
  </si>
  <si>
    <t>Teaching hospital arrangement</t>
  </si>
  <si>
    <t>Data sharing between University and Teaching Hospital is covered by agreement defining controller roles.</t>
  </si>
  <si>
    <t>Inspect University–Teaching Hospital MoU/data sharing agreement.</t>
  </si>
  <si>
    <t>MoU / DSA</t>
  </si>
  <si>
    <t>Compliance Audit Work Plan — Faculty of Computing</t>
  </si>
  <si>
    <t>Students, app users of student projects</t>
  </si>
  <si>
    <t>Student records, project datasets, app user data</t>
  </si>
  <si>
    <t>Results sheets, project repositories (GitHub), lab servers</t>
  </si>
  <si>
    <t>FAC-COM-01</t>
  </si>
  <si>
    <t>Walk through Faculty of Computing's key processing (software projects, AI/ML coursework, examinations) and confirm each activity is captured in the ROPA with purpose, data categories, recipients and retention.</t>
  </si>
  <si>
    <t>FAC-COM-02</t>
  </si>
  <si>
    <t>Inventory data held (Student records, project datasets, app user data); flag sensitive categories and confirm they are recorded as such.</t>
  </si>
  <si>
    <t>FAC-COM-03</t>
  </si>
  <si>
    <t>FAC-COM-04</t>
  </si>
  <si>
    <t>Identify Art. 18(1) activities in Faculty of Computing; test consent capture, records and ease of withdrawal for a sample of 5.</t>
  </si>
  <si>
    <t>FAC-COM-05</t>
  </si>
  <si>
    <t>Collect all forms/portals used by Faculty of Computing; check each notice against Art. 27(3)(a)-(j).</t>
  </si>
  <si>
    <t>FAC-COM-06</t>
  </si>
  <si>
    <t>Review fields on Faculty of Computing forms and systems (Results sheets, project repositories (GitHub), lab servers); identify excessive fields (e.g., religion, NIN, BVN) not justified by purpose.</t>
  </si>
  <si>
    <t>FAC-COM-07</t>
  </si>
  <si>
    <t>FAC-COM-08</t>
  </si>
  <si>
    <t>FAC-COM-09</t>
  </si>
  <si>
    <t>Enquire about requests received by Faculty of Computing; test log and escalation to DPO.</t>
  </si>
  <si>
    <t>FAC-COM-10</t>
  </si>
  <si>
    <t>Inspect records rooms/cabinets; review user access list for Results sheets, project repositories (GitHub), lab servers and confirm leavers are removed.</t>
  </si>
  <si>
    <t>FAC-COM-11</t>
  </si>
  <si>
    <t>FAC-COM-12</t>
  </si>
  <si>
    <t>Vendors/partners processing personal data for Faculty of Computing have Data Processing Agreements and were vetted.</t>
  </si>
  <si>
    <t>List third parties receiving data from Faculty of Computing; inspect DPAs against Art. 34(2).</t>
  </si>
  <si>
    <t>FAC-COM-13</t>
  </si>
  <si>
    <t>Assess whether Faculty of Computing's processing triggers Art. 28(3); inspect DPIA and DPO sign-off.</t>
  </si>
  <si>
    <t>FAC-COM-14</t>
  </si>
  <si>
    <t>Identify foreign tools/partners used by Faculty of Computing (e.g., Google Workspace, Zoom, foreign institutions) and confirm transfer basis.</t>
  </si>
  <si>
    <t>FAC-COM-15</t>
  </si>
  <si>
    <t>Interview 3 staff on breach reporting; review incidents in Faculty of Computing during the year and escalation timestamps.</t>
  </si>
  <si>
    <t>FAC-COM-16</t>
  </si>
  <si>
    <t>Compare training attendance to staff list of Faculty of Computing; confirm basic privacy checklist is available.</t>
  </si>
  <si>
    <t>FAC-COM-17</t>
  </si>
  <si>
    <t>FAC-COM-18</t>
  </si>
  <si>
    <t>Review results of routine checks performed in Faculty of Computing during the year.</t>
  </si>
  <si>
    <t>FAC-COM-19</t>
  </si>
  <si>
    <t>Confirm Faculty of Computing submissions for H1 and H2 reports.</t>
  </si>
  <si>
    <t>FAC-COM-20</t>
  </si>
  <si>
    <t>Enquire about new tools adopted by Faculty of Computing (incl. AI tools); inspect approvals/DPIAs.</t>
  </si>
  <si>
    <t>FAC-COM-21</t>
  </si>
  <si>
    <t>Review decisions based on personal data in Faculty of Computing (e.g., selection, discipline) for fairness and transparency.</t>
  </si>
  <si>
    <t>FAC-COM-22</t>
  </si>
  <si>
    <t>Obtain prior-year findings for Faculty of Computing; verify implementation of each agreed action.</t>
  </si>
  <si>
    <t>FAC-COM-23</t>
  </si>
  <si>
    <t>Datasets in projects</t>
  </si>
  <si>
    <t>GAID Art. 35(6)(a),(k), 43</t>
  </si>
  <si>
    <t>Student projects use anonymised or synthetic data; scraped personal data is not used without lawful basis.</t>
  </si>
  <si>
    <t>Review 5 final-year project datasets and repositories for personal data exposure.</t>
  </si>
  <si>
    <t>Repositories; datasets</t>
  </si>
  <si>
    <t>FAC-COM-24</t>
  </si>
  <si>
    <t>AI &amp; emerging tech</t>
  </si>
  <si>
    <t>GAID Art. 43, 44</t>
  </si>
  <si>
    <t>AI tools built or used in teaching/assessment consider automated decision rights and disparate outcomes.</t>
  </si>
  <si>
    <t>Enquire about AI proctoring/grading tools; inspect risk assessment.</t>
  </si>
  <si>
    <t>Tool assessments</t>
  </si>
  <si>
    <t>Compliance Audit Work Plan — School of Postgraduate Studies</t>
  </si>
  <si>
    <t>PG applicants, students, supervisors, external examiners</t>
  </si>
  <si>
    <t>Applications, referee reports, transcripts, theses, plagiarism reports</t>
  </si>
  <si>
    <t>PG portal, plagiarism checker (e.g., Turnitin), thesis repository</t>
  </si>
  <si>
    <t>SCH-POS-01</t>
  </si>
  <si>
    <t>Walk through School of Postgraduate Studies's key processing (PG admission, thesis processing, external examination, repository deposit) and confirm each activity is captured in the ROPA with purpose, data categories, recipients and retention.</t>
  </si>
  <si>
    <t>SCH-POS-02</t>
  </si>
  <si>
    <t>Inventory data held (Applications, referee reports, transcripts, theses, plagiarism reports); flag sensitive categories and confirm they are recorded as such.</t>
  </si>
  <si>
    <t>SCH-POS-03</t>
  </si>
  <si>
    <t>SCH-POS-04</t>
  </si>
  <si>
    <t>Identify Art. 18(1) activities in School of Postgraduate Studies; test consent capture, records and ease of withdrawal for a sample of 5.</t>
  </si>
  <si>
    <t>SCH-POS-05</t>
  </si>
  <si>
    <t>Collect all forms/portals used by School of Postgraduate Studies; check each notice against Art. 27(3)(a)-(j).</t>
  </si>
  <si>
    <t>SCH-POS-06</t>
  </si>
  <si>
    <t>Review fields on School of Postgraduate Studies forms and systems (PG portal, plagiarism checker (e.g., Turnitin), thesis repository); identify excessive fields (e.g., religion, NIN, BVN) not justified by purpose.</t>
  </si>
  <si>
    <t>SCH-POS-07</t>
  </si>
  <si>
    <t>SCH-POS-08</t>
  </si>
  <si>
    <t>SCH-POS-09</t>
  </si>
  <si>
    <t>Enquire about requests received by School of Postgraduate Studies; test log and escalation to DPO.</t>
  </si>
  <si>
    <t>SCH-POS-10</t>
  </si>
  <si>
    <t>Inspect records rooms/cabinets; review user access list for PG portal, plagiarism checker (e.g., Turnitin), thesis repository and confirm leavers are removed.</t>
  </si>
  <si>
    <t>SCH-POS-11</t>
  </si>
  <si>
    <t>SCH-POS-12</t>
  </si>
  <si>
    <t>Vendors/partners processing personal data for School of Postgraduate Studies have Data Processing Agreements and were vetted.</t>
  </si>
  <si>
    <t>List third parties receiving data from School of Postgraduate Studies; inspect DPAs against Art. 34(2).</t>
  </si>
  <si>
    <t>SCH-POS-13</t>
  </si>
  <si>
    <t>Assess whether School of Postgraduate Studies's processing triggers Art. 28(3); inspect DPIA and DPO sign-off.</t>
  </si>
  <si>
    <t>SCH-POS-14</t>
  </si>
  <si>
    <t>Identify foreign tools/partners used by School of Postgraduate Studies (e.g., Google Workspace, Zoom, foreign institutions) and confirm transfer basis.</t>
  </si>
  <si>
    <t>SCH-POS-15</t>
  </si>
  <si>
    <t>Interview 3 staff on breach reporting; review incidents in School of Postgraduate Studies during the year and escalation timestamps.</t>
  </si>
  <si>
    <t>SCH-POS-16</t>
  </si>
  <si>
    <t>Compare training attendance to staff list of School of Postgraduate Studies; confirm basic privacy checklist is available.</t>
  </si>
  <si>
    <t>SCH-POS-17</t>
  </si>
  <si>
    <t>SCH-POS-18</t>
  </si>
  <si>
    <t>Review results of routine checks performed in School of Postgraduate Studies during the year.</t>
  </si>
  <si>
    <t>SCH-POS-19</t>
  </si>
  <si>
    <t>Confirm School of Postgraduate Studies submissions for H1 and H2 reports.</t>
  </si>
  <si>
    <t>SCH-POS-20</t>
  </si>
  <si>
    <t>Enquire about new tools adopted by School of Postgraduate Studies (incl. AI tools); inspect approvals/DPIAs.</t>
  </si>
  <si>
    <t>SCH-POS-21</t>
  </si>
  <si>
    <t>Review decisions based on personal data in School of Postgraduate Studies (e.g., selection, discipline) for fairness and transparency.</t>
  </si>
  <si>
    <t>SCH-POS-22</t>
  </si>
  <si>
    <t>Obtain prior-year findings for School of Postgraduate Studies; verify implementation of each agreed action.</t>
  </si>
  <si>
    <t>SCH-POS-23</t>
  </si>
  <si>
    <t>Plagiarism tool transfers</t>
  </si>
  <si>
    <t>Uploading theses to foreign plagiarism checkers is covered by agreement, transfer safeguards and student notice.</t>
  </si>
  <si>
    <t>Inspect Turnitin/iThenticate licence terms, repository settings and student notice.</t>
  </si>
  <si>
    <t>Licence; notice</t>
  </si>
  <si>
    <t>SCH-POS-24</t>
  </si>
  <si>
    <t>External examiners</t>
  </si>
  <si>
    <t>GAID Art. 34(3); NDPA s.39</t>
  </si>
  <si>
    <t>Theses and results sent to external examiners are transmitted securely and returned/destroyed.</t>
  </si>
  <si>
    <t>Review transmission method and confidentiality undertakings.</t>
  </si>
  <si>
    <t>Examiner correspondence</t>
  </si>
  <si>
    <t>SCH-POS-25</t>
  </si>
  <si>
    <t>Referee reports</t>
  </si>
  <si>
    <t>NDPA s.34</t>
  </si>
  <si>
    <t>Access requests to referee reports handled while protecting third-party rights.</t>
  </si>
  <si>
    <t>Review procedure for access requests involving referee reports.</t>
  </si>
  <si>
    <t>Procedure</t>
  </si>
  <si>
    <t>Compliance Audit Work Plan — School of General Studies</t>
  </si>
  <si>
    <t>All 100/200-level students</t>
  </si>
  <si>
    <t>Registration lists, CBT exam data, scores</t>
  </si>
  <si>
    <t>CBT centre systems, results sheets</t>
  </si>
  <si>
    <t>SCH-GS-01</t>
  </si>
  <si>
    <t>Walk through School of General Studies's key processing (GST course registration, CBT examinations, results) and confirm each activity is captured in the ROPA with purpose, data categories, recipients and retention.</t>
  </si>
  <si>
    <t>SCH-GS-02</t>
  </si>
  <si>
    <t>Inventory data held (Registration lists, CBT exam data, scores); flag sensitive categories and confirm they are recorded as such.</t>
  </si>
  <si>
    <t>SCH-GS-03</t>
  </si>
  <si>
    <t>SCH-GS-04</t>
  </si>
  <si>
    <t>Identify Art. 18(1) activities in School of General Studies; test consent capture, records and ease of withdrawal for a sample of 5.</t>
  </si>
  <si>
    <t>SCH-GS-05</t>
  </si>
  <si>
    <t>Collect all forms/portals used by School of General Studies; check each notice against Art. 27(3)(a)-(j).</t>
  </si>
  <si>
    <t>SCH-GS-06</t>
  </si>
  <si>
    <t>Review fields on School of General Studies forms and systems (CBT centre systems, results sheets); identify excessive fields (e.g., religion, NIN, BVN) not justified by purpose.</t>
  </si>
  <si>
    <t>SCH-GS-07</t>
  </si>
  <si>
    <t>SCH-GS-08</t>
  </si>
  <si>
    <t>SCH-GS-09</t>
  </si>
  <si>
    <t>Enquire about requests received by School of General Studies; test log and escalation to DPO.</t>
  </si>
  <si>
    <t>SCH-GS-10</t>
  </si>
  <si>
    <t>Inspect records rooms/cabinets; review user access list for CBT centre systems, results sheets and confirm leavers are removed.</t>
  </si>
  <si>
    <t>SCH-GS-11</t>
  </si>
  <si>
    <t>SCH-GS-12</t>
  </si>
  <si>
    <t>Vendors/partners processing personal data for School of General Studies have Data Processing Agreements and were vetted.</t>
  </si>
  <si>
    <t>List third parties receiving data from School of General Studies; inspect DPAs against Art. 34(2).</t>
  </si>
  <si>
    <t>SCH-GS-13</t>
  </si>
  <si>
    <t>Assess whether School of General Studies's processing triggers Art. 28(3); inspect DPIA and DPO sign-off.</t>
  </si>
  <si>
    <t>SCH-GS-14</t>
  </si>
  <si>
    <t>Identify foreign tools/partners used by School of General Studies (e.g., Google Workspace, Zoom, foreign institutions) and confirm transfer basis.</t>
  </si>
  <si>
    <t>SCH-GS-15</t>
  </si>
  <si>
    <t>Interview 3 staff on breach reporting; review incidents in School of General Studies during the year and escalation timestamps.</t>
  </si>
  <si>
    <t>SCH-GS-16</t>
  </si>
  <si>
    <t>Compare training attendance to staff list of School of General Studies; confirm basic privacy checklist is available.</t>
  </si>
  <si>
    <t>SCH-GS-17</t>
  </si>
  <si>
    <t>SCH-GS-18</t>
  </si>
  <si>
    <t>Review results of routine checks performed in School of General Studies during the year.</t>
  </si>
  <si>
    <t>SCH-GS-19</t>
  </si>
  <si>
    <t>Confirm School of General Studies submissions for H1 and H2 reports.</t>
  </si>
  <si>
    <t>SCH-GS-20</t>
  </si>
  <si>
    <t>Enquire about new tools adopted by School of General Studies (incl. AI tools); inspect approvals/DPIAs.</t>
  </si>
  <si>
    <t>SCH-GS-21</t>
  </si>
  <si>
    <t>Review decisions based on personal data in School of General Studies (e.g., selection, discipline) for fairness and transparency.</t>
  </si>
  <si>
    <t>SCH-GS-22</t>
  </si>
  <si>
    <t>Obtain prior-year findings for School of General Studies; verify implementation of each agreed action.</t>
  </si>
  <si>
    <t>SCH-GS-23</t>
  </si>
  <si>
    <t>CBT examination data</t>
  </si>
  <si>
    <t>GAID Art. 29, 36</t>
  </si>
  <si>
    <t>CBT systems protect candidate data, log access and allow correction of input errors without charge.</t>
  </si>
  <si>
    <t>Test CBT admin access, audit logs and error-correction procedure.</t>
  </si>
  <si>
    <t>CBT logs; procedure</t>
  </si>
  <si>
    <t>Compliance Audit Work Plan — Centre/School of Distance Learning &amp; Continuing Education</t>
  </si>
  <si>
    <t>Online learners (local &amp; diaspora), facilitators</t>
  </si>
  <si>
    <t>Biodata, payment data, LMS activity, proctoring video/biometrics</t>
  </si>
  <si>
    <t>Online LMS, online proctoring tool, payment gateway</t>
  </si>
  <si>
    <t>SCH-DL-01</t>
  </si>
  <si>
    <t>Walk through Centre/School of Distance Learning &amp; Continuing Education's key processing (online admission, LMS delivery, e-proctored exams) and confirm each activity is captured in the ROPA with purpose, data categories, recipients and retention.</t>
  </si>
  <si>
    <t>SCH-DL-02</t>
  </si>
  <si>
    <t>Inventory data held (Biodata, payment data, LMS activity, proctoring video/biometrics); flag sensitive categories and confirm they are recorded as such.</t>
  </si>
  <si>
    <t>SCH-DL-03</t>
  </si>
  <si>
    <t>SCH-DL-04</t>
  </si>
  <si>
    <t>Identify Art. 18(1) activities in Centre/School of Distance Learning &amp; Continuing Education; test consent capture, records and ease of withdrawal for a sample of 5.</t>
  </si>
  <si>
    <t>SCH-DL-05</t>
  </si>
  <si>
    <t>Collect all forms/portals used by Centre/School of Distance Learning &amp; Continuing Education; check each notice against Art. 27(3)(a)-(j).</t>
  </si>
  <si>
    <t>SCH-DL-06</t>
  </si>
  <si>
    <t>Review fields on Centre/School of Distance Learning &amp; Continuing Education forms and systems (Online LMS, online proctoring tool, payment gateway); identify excessive fields (e.g., religion, NIN, BVN) not justified by purpose.</t>
  </si>
  <si>
    <t>SCH-DL-07</t>
  </si>
  <si>
    <t>SCH-DL-08</t>
  </si>
  <si>
    <t>SCH-DL-09</t>
  </si>
  <si>
    <t>Enquire about requests received by Centre/School of Distance Learning &amp; Continuing Education; test log and escalation to DPO.</t>
  </si>
  <si>
    <t>SCH-DL-10</t>
  </si>
  <si>
    <t>Inspect records rooms/cabinets; review user access list for Online LMS, online proctoring tool, payment gateway and confirm leavers are removed.</t>
  </si>
  <si>
    <t>SCH-DL-11</t>
  </si>
  <si>
    <t>SCH-DL-12</t>
  </si>
  <si>
    <t>Vendors/partners processing personal data for Centre/School of Distance Learning &amp; Continuing Education have Data Processing Agreements and were vetted.</t>
  </si>
  <si>
    <t>List third parties receiving data from Centre/School of Distance Learning &amp; Continuing Education; inspect DPAs against Art. 34(2).</t>
  </si>
  <si>
    <t>SCH-DL-13</t>
  </si>
  <si>
    <t>Assess whether Centre/School of Distance Learning &amp; Continuing Education's processing triggers Art. 28(3); inspect DPIA and DPO sign-off.</t>
  </si>
  <si>
    <t>SCH-DL-14</t>
  </si>
  <si>
    <t>Identify foreign tools/partners used by Centre/School of Distance Learning &amp; Continuing Education (e.g., Google Workspace, Zoom, foreign institutions) and confirm transfer basis.</t>
  </si>
  <si>
    <t>SCH-DL-15</t>
  </si>
  <si>
    <t>Interview 3 staff on breach reporting; review incidents in Centre/School of Distance Learning &amp; Continuing Education during the year and escalation timestamps.</t>
  </si>
  <si>
    <t>SCH-DL-16</t>
  </si>
  <si>
    <t>Compare training attendance to staff list of Centre/School of Distance Learning &amp; Continuing Education; confirm basic privacy checklist is available.</t>
  </si>
  <si>
    <t>SCH-DL-17</t>
  </si>
  <si>
    <t>SCH-DL-18</t>
  </si>
  <si>
    <t>Review results of routine checks performed in Centre/School of Distance Learning &amp; Continuing Education during the year.</t>
  </si>
  <si>
    <t>SCH-DL-19</t>
  </si>
  <si>
    <t>Confirm Centre/School of Distance Learning &amp; Continuing Education submissions for H1 and H2 reports.</t>
  </si>
  <si>
    <t>SCH-DL-20</t>
  </si>
  <si>
    <t>Enquire about new tools adopted by Centre/School of Distance Learning &amp; Continuing Education (incl. AI tools); inspect approvals/DPIAs.</t>
  </si>
  <si>
    <t>SCH-DL-21</t>
  </si>
  <si>
    <t>Review decisions based on personal data in Centre/School of Distance Learning &amp; Continuing Education (e.g., selection, discipline) for fairness and transparency.</t>
  </si>
  <si>
    <t>SCH-DL-22</t>
  </si>
  <si>
    <t>Obtain prior-year findings for Centre/School of Distance Learning &amp; Continuing Education; verify implementation of each agreed action.</t>
  </si>
  <si>
    <t>SCH-DL-23</t>
  </si>
  <si>
    <t>Online proctoring</t>
  </si>
  <si>
    <t>GAID Art. 18(1)(b),(f), 28(3)(c),(d)</t>
  </si>
  <si>
    <t>Webcam/biometric proctoring has DPIA, explicit consent, human review of flags and retention limits.</t>
  </si>
  <si>
    <t>Inspect proctoring DPIA, consent screen, flag review process and video retention.</t>
  </si>
  <si>
    <t>DPIA; consent screen; retention settings</t>
  </si>
  <si>
    <t>SCH-DL-24</t>
  </si>
  <si>
    <t>LMS cookies &amp; tracking</t>
  </si>
  <si>
    <t>GAID Art. 19, 31</t>
  </si>
  <si>
    <t>LMS and learner app display conspicuous cookie/privacy notices and in-app privacy statement.</t>
  </si>
  <si>
    <t>Inspect LMS/app for cookie banner and pre-installation privacy statement.</t>
  </si>
  <si>
    <t>Screenshots</t>
  </si>
  <si>
    <t>SCH-DL-25</t>
  </si>
  <si>
    <t>Diaspora learners</t>
  </si>
  <si>
    <t>GAID Art. 1(4)(d), 45</t>
  </si>
  <si>
    <t>Processing of learners outside Nigeria and use of foreign cloud LMS addresses cross-border rules.</t>
  </si>
  <si>
    <t>Review LMS hosting location and transfer basis.</t>
  </si>
  <si>
    <t>Hosting contract</t>
  </si>
  <si>
    <t>Compliance Audit Work Plan — School of Basic / Pre-Degree Studies (JUPEB/IJMB)</t>
  </si>
  <si>
    <t>Pre-degree students (mostly minors), parents</t>
  </si>
  <si>
    <t>Biodata, parents' contacts, results</t>
  </si>
  <si>
    <t>Pre-degree portal, results sheets</t>
  </si>
  <si>
    <t>SCH-BS-01</t>
  </si>
  <si>
    <t>Walk through School of Basic / Pre-Degree Studies (JUPEB/IJMB)'s key processing (pre-degree admission, examinations, JUPEB/IJMB registration) and confirm each activity is captured in the ROPA with purpose, data categories, recipients and retention.</t>
  </si>
  <si>
    <t>SCH-BS-02</t>
  </si>
  <si>
    <t>Inventory data held (Biodata, parents' contacts, results); flag sensitive categories and confirm they are recorded as such.</t>
  </si>
  <si>
    <t>SCH-BS-03</t>
  </si>
  <si>
    <t>SCH-BS-04</t>
  </si>
  <si>
    <t>Identify Art. 18(1) activities in School of Basic / Pre-Degree Studies (JUPEB/IJMB); test consent capture, records and ease of withdrawal for a sample of 5.</t>
  </si>
  <si>
    <t>SCH-BS-05</t>
  </si>
  <si>
    <t>Collect all forms/portals used by School of Basic / Pre-Degree Studies (JUPEB/IJMB); check each notice against Art. 27(3)(a)-(j).</t>
  </si>
  <si>
    <t>SCH-BS-06</t>
  </si>
  <si>
    <t>Review fields on School of Basic / Pre-Degree Studies (JUPEB/IJMB) forms and systems (Pre-degree portal, results sheets); identify excessive fields (e.g., religion, NIN, BVN) not justified by purpose.</t>
  </si>
  <si>
    <t>SCH-BS-07</t>
  </si>
  <si>
    <t>SCH-BS-08</t>
  </si>
  <si>
    <t>SCH-BS-09</t>
  </si>
  <si>
    <t>Enquire about requests received by School of Basic / Pre-Degree Studies (JUPEB/IJMB); test log and escalation to DPO.</t>
  </si>
  <si>
    <t>SCH-BS-10</t>
  </si>
  <si>
    <t>Inspect records rooms/cabinets; review user access list for Pre-degree portal, results sheets and confirm leavers are removed.</t>
  </si>
  <si>
    <t>SCH-BS-11</t>
  </si>
  <si>
    <t>SCH-BS-12</t>
  </si>
  <si>
    <t>Vendors/partners processing personal data for School of Basic / Pre-Degree Studies (JUPEB/IJMB) have Data Processing Agreements and were vetted.</t>
  </si>
  <si>
    <t>List third parties receiving data from School of Basic / Pre-Degree Studies (JUPEB/IJMB); inspect DPAs against Art. 34(2).</t>
  </si>
  <si>
    <t>SCH-BS-13</t>
  </si>
  <si>
    <t>Assess whether School of Basic / Pre-Degree Studies (JUPEB/IJMB)'s processing triggers Art. 28(3); inspect DPIA and DPO sign-off.</t>
  </si>
  <si>
    <t>SCH-BS-14</t>
  </si>
  <si>
    <t>Identify foreign tools/partners used by School of Basic / Pre-Degree Studies (JUPEB/IJMB) (e.g., Google Workspace, Zoom, foreign institutions) and confirm transfer basis.</t>
  </si>
  <si>
    <t>SCH-BS-15</t>
  </si>
  <si>
    <t>Interview 3 staff on breach reporting; review incidents in School of Basic / Pre-Degree Studies (JUPEB/IJMB) during the year and escalation timestamps.</t>
  </si>
  <si>
    <t>SCH-BS-16</t>
  </si>
  <si>
    <t>Compare training attendance to staff list of School of Basic / Pre-Degree Studies (JUPEB/IJMB); confirm basic privacy checklist is available.</t>
  </si>
  <si>
    <t>SCH-BS-17</t>
  </si>
  <si>
    <t>SCH-BS-18</t>
  </si>
  <si>
    <t>Review results of routine checks performed in School of Basic / Pre-Degree Studies (JUPEB/IJMB) during the year.</t>
  </si>
  <si>
    <t>SCH-BS-19</t>
  </si>
  <si>
    <t>Confirm School of Basic / Pre-Degree Studies (JUPEB/IJMB) submissions for H1 and H2 reports.</t>
  </si>
  <si>
    <t>SCH-BS-20</t>
  </si>
  <si>
    <t>Enquire about new tools adopted by School of Basic / Pre-Degree Studies (JUPEB/IJMB) (incl. AI tools); inspect approvals/DPIAs.</t>
  </si>
  <si>
    <t>SCH-BS-21</t>
  </si>
  <si>
    <t>Review decisions based on personal data in School of Basic / Pre-Degree Studies (JUPEB/IJMB) (e.g., selection, discipline) for fairness and transparency.</t>
  </si>
  <si>
    <t>SCH-BS-22</t>
  </si>
  <si>
    <t>Obtain prior-year findings for School of Basic / Pre-Degree Studies (JUPEB/IJMB); verify implementation of each agreed action.</t>
  </si>
  <si>
    <t>SCH-BS-23</t>
  </si>
  <si>
    <t>Minors' consent</t>
  </si>
  <si>
    <t>Parental consent obtained and parents informed of rights for students under 18.</t>
  </si>
  <si>
    <t>Test 10 student files for parental consent and privacy information to parents.</t>
  </si>
  <si>
    <t>Admission forms</t>
  </si>
  <si>
    <t>SCH-BS-24</t>
  </si>
  <si>
    <t>Exam body sharing</t>
  </si>
  <si>
    <t>Data shared with JUPEB/IJMB boards is limited and documented.</t>
  </si>
  <si>
    <t>Review registration data fields sent to exam boards.</t>
  </si>
  <si>
    <t>Registration returns</t>
  </si>
  <si>
    <t>Compliance Audit Work Plan — University Staff School (Nursery/Primary/Secondary)</t>
  </si>
  <si>
    <t>Pupils (minors), parents, teachers</t>
  </si>
  <si>
    <t>Pupil records, health and allergy data, photos, report cards</t>
  </si>
  <si>
    <t>School management software, class WhatsApp groups, CCTV</t>
  </si>
  <si>
    <t>SCH-SS-01</t>
  </si>
  <si>
    <t>Walk through University Staff School (Nursery/Primary/Secondary)'s key processing (pupil enrolment, assessments, school events, parent communication) and confirm each activity is captured in the ROPA with purpose, data categories, recipients and retention.</t>
  </si>
  <si>
    <t>SCH-SS-02</t>
  </si>
  <si>
    <t>Inventory data held (Pupil records, health and allergy data, photos, report cards); flag sensitive categories and confirm they are recorded as such.</t>
  </si>
  <si>
    <t>SCH-SS-03</t>
  </si>
  <si>
    <t>SCH-SS-04</t>
  </si>
  <si>
    <t>Identify Art. 18(1) activities in University Staff School (Nursery/Primary/Secondary); test consent capture, records and ease of withdrawal for a sample of 5.</t>
  </si>
  <si>
    <t>SCH-SS-05</t>
  </si>
  <si>
    <t>Collect all forms/portals used by University Staff School (Nursery/Primary/Secondary); check each notice against Art. 27(3)(a)-(j).</t>
  </si>
  <si>
    <t>SCH-SS-06</t>
  </si>
  <si>
    <t>Review fields on University Staff School (Nursery/Primary/Secondary) forms and systems (School management software, class WhatsApp groups, CCTV); identify excessive fields (e.g., religion, NIN, BVN) not justified by purpose.</t>
  </si>
  <si>
    <t>SCH-SS-07</t>
  </si>
  <si>
    <t>SCH-SS-08</t>
  </si>
  <si>
    <t>SCH-SS-09</t>
  </si>
  <si>
    <t>Enquire about requests received by University Staff School (Nursery/Primary/Secondary); test log and escalation to DPO.</t>
  </si>
  <si>
    <t>SCH-SS-10</t>
  </si>
  <si>
    <t>Inspect records rooms/cabinets; review user access list for School management software, class WhatsApp groups, CCTV and confirm leavers are removed.</t>
  </si>
  <si>
    <t>SCH-SS-11</t>
  </si>
  <si>
    <t>SCH-SS-12</t>
  </si>
  <si>
    <t>Vendors/partners processing personal data for University Staff School (Nursery/Primary/Secondary) have Data Processing Agreements and were vetted.</t>
  </si>
  <si>
    <t>List third parties receiving data from University Staff School (Nursery/Primary/Secondary); inspect DPAs against Art. 34(2).</t>
  </si>
  <si>
    <t>SCH-SS-13</t>
  </si>
  <si>
    <t>Assess whether University Staff School (Nursery/Primary/Secondary)'s processing triggers Art. 28(3); inspect DPIA and DPO sign-off.</t>
  </si>
  <si>
    <t>SCH-SS-14</t>
  </si>
  <si>
    <t>Identify foreign tools/partners used by University Staff School (Nursery/Primary/Secondary) (e.g., Google Workspace, Zoom, foreign institutions) and confirm transfer basis.</t>
  </si>
  <si>
    <t>SCH-SS-15</t>
  </si>
  <si>
    <t>Interview 3 staff on breach reporting; review incidents in University Staff School (Nursery/Primary/Secondary) during the year and escalation timestamps.</t>
  </si>
  <si>
    <t>SCH-SS-16</t>
  </si>
  <si>
    <t>Compare training attendance to staff list of University Staff School (Nursery/Primary/Secondary); confirm basic privacy checklist is available.</t>
  </si>
  <si>
    <t>SCH-SS-17</t>
  </si>
  <si>
    <t>SCH-SS-18</t>
  </si>
  <si>
    <t>Review results of routine checks performed in University Staff School (Nursery/Primary/Secondary) during the year.</t>
  </si>
  <si>
    <t>SCH-SS-19</t>
  </si>
  <si>
    <t>Confirm University Staff School (Nursery/Primary/Secondary) submissions for H1 and H2 reports.</t>
  </si>
  <si>
    <t>SCH-SS-20</t>
  </si>
  <si>
    <t>Enquire about new tools adopted by University Staff School (Nursery/Primary/Secondary) (incl. AI tools); inspect approvals/DPIAs.</t>
  </si>
  <si>
    <t>SCH-SS-21</t>
  </si>
  <si>
    <t>Review decisions based on personal data in University Staff School (Nursery/Primary/Secondary) (e.g., selection, discipline) for fairness and transparency.</t>
  </si>
  <si>
    <t>SCH-SS-22</t>
  </si>
  <si>
    <t>Obtain prior-year findings for University Staff School (Nursery/Primary/Secondary); verify implementation of each agreed action.</t>
  </si>
  <si>
    <t>SCH-SS-23</t>
  </si>
  <si>
    <t>Child data protection</t>
  </si>
  <si>
    <t>NDPA s.31; GAID Art. 18(1)(d), 35(6)(c)</t>
  </si>
  <si>
    <t>All pupil data processing has parental consent; child online protection practices applied.</t>
  </si>
  <si>
    <t>Review enrolment forms, consent and child online protection policy.</t>
  </si>
  <si>
    <t>Forms; policy</t>
  </si>
  <si>
    <t>SCH-SS-24</t>
  </si>
  <si>
    <t>Pupil photos &amp; social media</t>
  </si>
  <si>
    <t>GAID Art. 17(8)(a), 41</t>
  </si>
  <si>
    <t>Pupils' images are not posted publicly without parental consent and never in ways that portray them badly.</t>
  </si>
  <si>
    <t>Review school social media posts for identifiable pupils against consent list.</t>
  </si>
  <si>
    <t>Posts; consent list</t>
  </si>
  <si>
    <t>SCH-SS-25</t>
  </si>
  <si>
    <t>Health &amp; allergy data</t>
  </si>
  <si>
    <t>NDPA s.30</t>
  </si>
  <si>
    <t>Pupils' health data restricted to school nurse/class teacher as necessary.</t>
  </si>
  <si>
    <t>Inspect storage and access of pupil health records.</t>
  </si>
  <si>
    <t>Health records</t>
  </si>
</sst>
</file>

<file path=xl/styles.xml><?xml version="1.0" encoding="utf-8"?>
<styleSheet xmlns="http://schemas.openxmlformats.org/spreadsheetml/2006/main">
  <numFmts count="3">
    <numFmt numFmtId="0" formatCode="General"/>
    <numFmt numFmtId="9" formatCode="0%"/>
    <numFmt numFmtId="164" formatCode="dd\-mmm\-yyyy"/>
  </numFmts>
  <fonts count="18">
    <font>
      <name val="Calibri"/>
      <sz val="11"/>
    </font>
    <font>
      <name val="Arial"/>
      <b/>
      <charset val="1"/>
      <sz val="16"/>
      <color rgb="FF1F3864"/>
    </font>
    <font>
      <name val="Arial"/>
      <i/>
      <charset val="1"/>
      <sz val="11"/>
      <color rgb="FF2E75B6"/>
    </font>
    <font>
      <name val="Arial"/>
      <b/>
      <charset val="1"/>
      <sz val="10"/>
      <color rgb="FF1F3864"/>
    </font>
    <font>
      <name val="Arial"/>
      <charset val="1"/>
      <sz val="10"/>
    </font>
    <font>
      <name val="Arial"/>
      <b/>
      <charset val="1"/>
      <sz val="12"/>
      <color rgb="FF1F3864"/>
    </font>
    <font>
      <name val="Calibri"/>
      <charset val="1"/>
      <sz val="11"/>
      <color rgb="FF000000"/>
    </font>
    <font>
      <name val="Arial"/>
      <b/>
      <charset val="1"/>
      <sz val="10"/>
    </font>
    <font>
      <name val="Arial"/>
      <charset val="1"/>
      <sz val="10"/>
      <color rgb="FF0000FF"/>
    </font>
    <font>
      <name val="Arial"/>
      <i/>
      <charset val="1"/>
      <sz val="10"/>
      <color rgb="FF2E75B6"/>
    </font>
    <font>
      <name val="Arial"/>
      <b/>
      <charset val="1"/>
      <sz val="10"/>
      <color rgb="FFFFFFFF"/>
    </font>
    <font>
      <name val="Arial"/>
      <charset val="1"/>
      <sz val="10"/>
      <color rgb="FF000000"/>
    </font>
    <font>
      <name val="Arial"/>
      <charset val="1"/>
      <sz val="10"/>
      <color rgb="FF008000"/>
    </font>
    <font>
      <name val="Arial"/>
      <charset val="1"/>
      <u/>
      <sz val="10"/>
      <color rgb="FF0563C1"/>
    </font>
    <font>
      <name val="Arial"/>
      <i/>
      <charset val="1"/>
      <sz val="9"/>
    </font>
    <font>
      <name val="Arial"/>
      <b/>
      <charset val="1"/>
      <sz val="14"/>
      <color rgb="FF1F3864"/>
    </font>
    <font>
      <name val="Arial"/>
      <i/>
      <charset val="1"/>
      <sz val="10"/>
    </font>
    <font>
      <name val="Arial"/>
      <b/>
      <charset val="1"/>
      <sz val="10"/>
      <color rgb="FF2E75B6"/>
    </font>
  </fonts>
  <fills count="7">
    <fill>
      <patternFill patternType="none"/>
    </fill>
    <fill>
      <patternFill patternType="gray125"/>
    </fill>
    <fill>
      <patternFill patternType="solid">
        <fgColor rgb="FFFFF2CC"/>
        <bgColor rgb="FFF2F2F2"/>
      </patternFill>
    </fill>
    <fill>
      <patternFill patternType="solid">
        <fgColor rgb="FFF2F2F2"/>
        <bgColor rgb="FFDDEBF7"/>
      </patternFill>
    </fill>
    <fill>
      <patternFill patternType="solid">
        <fgColor rgb="FFDDEBF7"/>
        <bgColor rgb="FFF2F2F2"/>
      </patternFill>
    </fill>
    <fill>
      <patternFill patternType="solid">
        <fgColor rgb="FF1F3864"/>
        <bgColor rgb="FF333333"/>
      </patternFill>
    </fill>
    <fill>
      <patternFill patternType="solid">
        <fgColor rgb="FF2E75B6"/>
        <bgColor rgb="FF0563C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46">
    <xf numFmtId="0" fontId="0" fillId="0" borderId="0" xfId="0">
      <alignment vertical="center"/>
    </xf>
    <xf numFmtId="0" fontId="1" fillId="0" borderId="0" xfId="0" applyFont="1" applyAlignment="1">
      <alignment vertical="bottom"/>
    </xf>
    <xf numFmtId="0" fontId="2" fillId="0" borderId="0" xfId="0" applyFont="1" applyAlignment="1">
      <alignment vertical="bottom"/>
    </xf>
    <xf numFmtId="0" fontId="3" fillId="0" borderId="0" xfId="0" applyFont="1" applyAlignment="1">
      <alignment vertical="bottom"/>
    </xf>
    <xf numFmtId="0" fontId="4" fillId="0" borderId="0" xfId="0" applyFont="1" applyAlignment="1">
      <alignment vertical="top" wrapText="1"/>
    </xf>
    <xf numFmtId="0" fontId="5" fillId="0" borderId="0" xfId="0" applyFont="1" applyAlignment="1">
      <alignment vertical="bottom"/>
    </xf>
    <xf numFmtId="0" fontId="6" fillId="2" borderId="1" xfId="0" applyBorder="1" applyAlignment="1">
      <alignment vertical="bottom"/>
    </xf>
    <xf numFmtId="0" fontId="4" fillId="0" borderId="0" xfId="0" applyFont="1" applyAlignment="1">
      <alignment vertical="bottom"/>
    </xf>
    <xf numFmtId="0" fontId="6" fillId="3" borderId="1" xfId="0" applyBorder="1" applyAlignment="1">
      <alignment vertical="bottom"/>
    </xf>
    <xf numFmtId="0" fontId="6" fillId="4" borderId="1" xfId="0" applyBorder="1" applyAlignment="1">
      <alignment vertical="bottom"/>
    </xf>
    <xf numFmtId="0" fontId="7" fillId="0" borderId="0" xfId="0" applyFont="1" applyAlignment="1">
      <alignment vertical="bottom"/>
    </xf>
    <xf numFmtId="0" fontId="8" fillId="0" borderId="0" xfId="0" applyFont="1" applyAlignment="1">
      <alignment vertical="top" wrapText="1"/>
    </xf>
    <xf numFmtId="0" fontId="9" fillId="0" borderId="0" xfId="0" applyFont="1" applyAlignment="1">
      <alignment vertical="bottom"/>
    </xf>
    <xf numFmtId="0" fontId="10" fillId="5" borderId="1" xfId="0" applyFont="1" applyBorder="1" applyAlignment="1">
      <alignment horizontal="center" vertical="center" wrapText="1"/>
    </xf>
    <xf numFmtId="0" fontId="4" fillId="0" borderId="1" xfId="0" applyFont="1" applyBorder="1" applyAlignment="1">
      <alignment vertical="bottom"/>
    </xf>
    <xf numFmtId="0" fontId="4" fillId="3" borderId="1" xfId="0" applyFont="1" applyBorder="1" applyAlignment="1">
      <alignment horizontal="center" vertical="bottom"/>
    </xf>
    <xf numFmtId="9" fontId="4" fillId="3" borderId="1" xfId="0" applyFont="1" applyBorder="1" applyAlignment="1">
      <alignment horizontal="center" vertical="bottom"/>
    </xf>
    <xf numFmtId="0" fontId="7" fillId="0" borderId="1" xfId="0" applyFont="1" applyBorder="1" applyAlignment="1">
      <alignment vertical="bottom"/>
    </xf>
    <xf numFmtId="0" fontId="7" fillId="4" borderId="1" xfId="0" applyFont="1" applyBorder="1" applyAlignment="1">
      <alignment horizontal="center" vertical="bottom"/>
    </xf>
    <xf numFmtId="9" fontId="7" fillId="4" borderId="1" xfId="0" applyFont="1" applyBorder="1" applyAlignment="1">
      <alignment horizontal="center" vertical="bottom"/>
    </xf>
    <xf numFmtId="0" fontId="11" fillId="0" borderId="1" xfId="0" applyFont="1" applyBorder="1">
      <alignment vertical="center"/>
    </xf>
    <xf numFmtId="0" fontId="11" fillId="0" borderId="1" xfId="0" applyFont="1" applyBorder="1" applyAlignment="1">
      <alignment vertical="center" wrapText="1"/>
    </xf>
    <xf numFmtId="0" fontId="12" fillId="0" borderId="1" xfId="0" applyFont="1" applyBorder="1">
      <alignment vertical="center"/>
    </xf>
    <xf numFmtId="0" fontId="12" fillId="0" borderId="1" xfId="0" applyFont="1" applyBorder="1" applyAlignment="1">
      <alignment horizontal="center" vertical="center"/>
    </xf>
    <xf numFmtId="164" fontId="12" fillId="0" borderId="1" xfId="0" applyFont="1" applyBorder="1" applyAlignment="1">
      <alignment horizontal="center" vertical="center"/>
    </xf>
    <xf numFmtId="9"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0" xfId="0" applyFont="1" applyAlignment="1">
      <alignment vertical="bottom"/>
    </xf>
    <xf numFmtId="0" fontId="15" fillId="0" borderId="0" xfId="0" applyFont="1" applyAlignment="1">
      <alignment vertical="bottom"/>
    </xf>
    <xf numFmtId="0" fontId="16" fillId="0" borderId="0" xfId="0" applyFont="1" applyAlignment="1">
      <alignment vertical="bottom"/>
    </xf>
    <xf numFmtId="0" fontId="4" fillId="0" borderId="1" xfId="0" applyFont="1" applyBorder="1" applyAlignment="1">
      <alignment vertical="top" wrapText="1"/>
    </xf>
    <xf numFmtId="164" fontId="4" fillId="2" borderId="1" xfId="0" applyFont="1" applyBorder="1" applyAlignment="1">
      <alignment vertical="top" wrapText="1"/>
    </xf>
    <xf numFmtId="0" fontId="4" fillId="3" borderId="1" xfId="0" applyFont="1" applyBorder="1" applyAlignment="1">
      <alignment vertical="top" wrapText="1"/>
    </xf>
    <xf numFmtId="0" fontId="4" fillId="2" borderId="1" xfId="0" applyFont="1" applyBorder="1" applyAlignment="1">
      <alignment vertical="top" wrapText="1"/>
    </xf>
    <xf numFmtId="0" fontId="13" fillId="0" borderId="0" xfId="0" applyFont="1" applyAlignment="1">
      <alignment vertical="bottom"/>
    </xf>
    <xf numFmtId="0" fontId="3" fillId="0" borderId="0" xfId="0" applyFont="1" applyBorder="1" applyAlignment="1">
      <alignment vertical="bottom"/>
    </xf>
    <xf numFmtId="0" fontId="4" fillId="4" borderId="0" xfId="0" applyFont="1" applyBorder="1" applyAlignment="1">
      <alignment vertical="center" wrapText="1"/>
    </xf>
    <xf numFmtId="0" fontId="4" fillId="2" borderId="1" xfId="0" applyFont="1" applyBorder="1" applyAlignment="1">
      <alignment vertical="bottom"/>
    </xf>
    <xf numFmtId="164" fontId="4" fillId="2" borderId="1" xfId="0" applyFont="1" applyBorder="1" applyAlignment="1">
      <alignment vertical="bottom"/>
    </xf>
    <xf numFmtId="0" fontId="4" fillId="2" borderId="0" xfId="0" applyFont="1" applyBorder="1" applyAlignment="1">
      <alignment vertical="center" wrapText="1"/>
    </xf>
    <xf numFmtId="0" fontId="4" fillId="3" borderId="1" xfId="0" applyFont="1" applyBorder="1" applyAlignment="1">
      <alignment vertical="bottom"/>
    </xf>
    <xf numFmtId="9" fontId="7" fillId="3" borderId="1" xfId="0" applyFont="1" applyBorder="1" applyAlignment="1">
      <alignment vertical="bottom"/>
    </xf>
    <xf numFmtId="0" fontId="10" fillId="6" borderId="1" xfId="0" applyFont="1" applyBorder="1" applyAlignment="1">
      <alignment horizontal="center" vertical="center" wrapText="1"/>
    </xf>
    <xf numFmtId="0" fontId="17" fillId="0" borderId="1" xfId="0" applyFont="1" applyBorder="1" applyAlignment="1">
      <alignment vertical="top" wrapText="1"/>
    </xf>
    <xf numFmtId="164" fontId="4" fillId="3" borderId="1" xfId="0" applyFont="1" applyBorder="1" applyAlignment="1">
      <alignment vertical="top" wrapText="1"/>
    </xf>
    <xf numFmtId="9" fontId="4" fillId="3" borderId="1" xfId="0" applyFont="1" applyBorder="1" applyAlignment="1">
      <alignment vertical="top" wrapText="1"/>
    </xf>
  </cellXfs>
  <cellStyles count="1">
    <cellStyle name="常规" xfId="0" builtinId="0"/>
  </cellStyles>
  <dxfs count="155">
    <dxf>
      <fill>
        <patternFill>
          <bgColor rgb="FFFFEB9C"/>
        </patternFill>
      </fill>
    </dxf>
    <dxf>
      <fill>
        <patternFill>
          <bgColor rgb="FFFFC7CE"/>
        </patternFill>
      </fill>
    </dxf>
    <dxf>
      <fill>
        <patternFill>
          <bgColor rgb="FFC6EFCE"/>
        </patternFill>
      </fill>
    </dxf>
    <dxf>
      <fill>
        <patternFill>
          <bgColor rgb="FFC6EFCE"/>
        </patternFill>
      </fill>
    </dxf>
    <dxf>
      <fill>
        <patternFill>
          <bgColor rgb="FFFFC7CE"/>
        </patternFill>
      </fill>
    </dxf>
    <dxf>
      <fill>
        <patternFill>
          <bgColor rgb="FFFFEB9C"/>
        </patternFill>
      </fill>
    </dxf>
    <dxf>
      <font>
        <b/>
        <color rgb="FFC00000"/>
      </font>
    </dxf>
    <dxf>
      <fill>
        <patternFill>
          <bgColor rgb="FFC6EFCE"/>
        </patternFill>
      </fill>
    </dxf>
    <dxf>
      <fill>
        <patternFill>
          <bgColor rgb="FFFFC7CE"/>
        </patternFill>
      </fill>
    </dxf>
    <dxf>
      <fill>
        <patternFill>
          <bgColor rgb="FFFFEB9C"/>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ont>
        <b/>
        <color rgb="FFC00000"/>
      </font>
    </dxf>
    <dxf>
      <fill>
        <patternFill>
          <bgColor rgb="FFC6EFCE"/>
        </patternFill>
      </fill>
    </dxf>
    <dxf>
      <fill>
        <patternFill>
          <bgColor rgb="FFFFEB9C"/>
        </patternFill>
      </fill>
    </dxf>
    <dxf>
      <fill>
        <patternFill>
          <bgColor rgb="FFFFC7CE"/>
        </patternFill>
      </fill>
    </dxf>
    <dxf>
      <font>
        <b/>
        <color rgb="FFC00000"/>
      </font>
    </dxf>
    <dxf>
      <fill>
        <patternFill>
          <bgColor rgb="FFC6EFCE"/>
        </patternFill>
      </fill>
    </dxf>
    <dxf>
      <fill>
        <patternFill>
          <bgColor rgb="FFFFEB9C"/>
        </patternFill>
      </fill>
    </dxf>
    <dxf>
      <fill>
        <patternFill>
          <bgColor rgb="FFFFC7CE"/>
        </patternFill>
      </fill>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ont>
        <b/>
        <color rgb="FFC00000"/>
      </font>
    </dxf>
    <dxf>
      <fill>
        <patternFill>
          <bgColor rgb="FFC6EFCE"/>
        </patternFill>
      </fill>
    </dxf>
    <dxf>
      <fill>
        <patternFill>
          <bgColor rgb="FFFFEB9C"/>
        </patternFill>
      </fill>
    </dxf>
    <dxf>
      <fill>
        <patternFill>
          <bgColor rgb="FFFFC7CE"/>
        </patternFill>
      </fill>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
      <fill>
        <patternFill>
          <bgColor rgb="FFFFEB9C"/>
        </patternFill>
      </fill>
    </dxf>
    <dxf>
      <fill>
        <patternFill>
          <bgColor rgb="FFFFC7CE"/>
        </patternFill>
      </fill>
    </dxf>
    <dxf>
      <fill>
        <patternFill>
          <bgColor rgb="FFC6EFCE"/>
        </patternFill>
      </fill>
    </dxf>
    <dxf>
      <font>
        <b/>
        <color rgb="FFC00000"/>
      </font>
    </dxf>
  </dxfs>
  <colors>
    <indexedColors>
      <rgbColor rgb="00000000"/>
      <rgbColor rgb="00FFFFFF"/>
      <rgbColor rgb="00FF0000"/>
      <rgbColor rgb="0000FF00"/>
      <rgbColor rgb="000000FF"/>
      <rgbColor rgb="00FFFF00"/>
      <rgbColor rgb="00FF00FF"/>
      <rgbColor rgb="0000FFFF"/>
      <rgbColor rgb="00800000"/>
      <rgbColor rgb="00008000"/>
      <rgbColor rgb="00000080"/>
      <rgbColor rgb="00548235"/>
      <rgbColor rgb="00800080"/>
      <rgbColor rgb="00008080"/>
      <rgbColor rgb="00BFBFBF"/>
      <rgbColor rgb="00808080"/>
      <rgbColor rgb="009999FF"/>
      <rgbColor rgb="007030A0"/>
      <rgbColor rgb="00FFF2CC"/>
      <rgbColor rgb="00DDEBF7"/>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F2F2F2"/>
      <rgbColor rgb="00C6EFCE"/>
      <rgbColor rgb="00FFEB9C"/>
      <rgbColor rgb="0099CCFF"/>
      <rgbColor rgb="00FF99CC"/>
      <rgbColor rgb="00CC99FF"/>
      <rgbColor rgb="00FFC7CE"/>
      <rgbColor rgb="002E75B6"/>
      <rgbColor rgb="0033CCCC"/>
      <rgbColor rgb="0099CC00"/>
      <rgbColor rgb="00FFCC00"/>
      <rgbColor rgb="00BF8F00"/>
      <rgbColor rgb="00C55A11"/>
      <rgbColor rgb="0066669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www.wps.cn/officeDocument/2020/cellImage" Target="cellimages.xml"/><Relationship Id="rId44" Type="http://schemas.openxmlformats.org/officeDocument/2006/relationships/sharedStrings" Target="sharedStrings.xml"/><Relationship Id="rId45" Type="http://schemas.openxmlformats.org/officeDocument/2006/relationships/styles" Target="styles.xml"/><Relationship Id="rId46"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 Id="rId2" Type="http://schemas.openxmlformats.org/officeDocument/2006/relationships/hyperlink" Target="University_NDPA_GAID_CAR_Audit_Work_Plan.xlsx" TargetMode="External"/><Relationship Id="rId3" Type="http://schemas.openxmlformats.org/officeDocument/2006/relationships/hyperlink" Target="University_NDPA_GAID_CAR_Audit_Work_Plan.xlsx" TargetMode="External"/><Relationship Id="rId4" Type="http://schemas.openxmlformats.org/officeDocument/2006/relationships/hyperlink" Target="University_NDPA_GAID_CAR_Audit_Work_Plan.xlsx" TargetMode="External"/><Relationship Id="rId5" Type="http://schemas.openxmlformats.org/officeDocument/2006/relationships/hyperlink" Target="University_NDPA_GAID_CAR_Audit_Work_Plan.xlsx" TargetMode="External"/><Relationship Id="rId6" Type="http://schemas.openxmlformats.org/officeDocument/2006/relationships/hyperlink" Target="University_NDPA_GAID_CAR_Audit_Work_Plan.xlsx" TargetMode="External"/><Relationship Id="rId7" Type="http://schemas.openxmlformats.org/officeDocument/2006/relationships/hyperlink" Target="University_NDPA_GAID_CAR_Audit_Work_Plan.xlsx" TargetMode="External"/><Relationship Id="rId8" Type="http://schemas.openxmlformats.org/officeDocument/2006/relationships/hyperlink" Target="University_NDPA_GAID_CAR_Audit_Work_Plan.xlsx" TargetMode="External"/><Relationship Id="rId9" Type="http://schemas.openxmlformats.org/officeDocument/2006/relationships/hyperlink" Target="University_NDPA_GAID_CAR_Audit_Work_Plan.xlsx" TargetMode="External"/><Relationship Id="rId10" Type="http://schemas.openxmlformats.org/officeDocument/2006/relationships/hyperlink" Target="University_NDPA_GAID_CAR_Audit_Work_Plan.xlsx" TargetMode="External"/><Relationship Id="rId11" Type="http://schemas.openxmlformats.org/officeDocument/2006/relationships/hyperlink" Target="University_NDPA_GAID_CAR_Audit_Work_Plan.xlsx" TargetMode="External"/><Relationship Id="rId12" Type="http://schemas.openxmlformats.org/officeDocument/2006/relationships/hyperlink" Target="University_NDPA_GAID_CAR_Audit_Work_Plan.xlsx" TargetMode="External"/><Relationship Id="rId13" Type="http://schemas.openxmlformats.org/officeDocument/2006/relationships/hyperlink" Target="University_NDPA_GAID_CAR_Audit_Work_Plan.xlsx" TargetMode="External"/><Relationship Id="rId14" Type="http://schemas.openxmlformats.org/officeDocument/2006/relationships/hyperlink" Target="University_NDPA_GAID_CAR_Audit_Work_Plan.xlsx" TargetMode="External"/><Relationship Id="rId15" Type="http://schemas.openxmlformats.org/officeDocument/2006/relationships/hyperlink" Target="University_NDPA_GAID_CAR_Audit_Work_Plan.xlsx" TargetMode="External"/><Relationship Id="rId16" Type="http://schemas.openxmlformats.org/officeDocument/2006/relationships/hyperlink" Target="University_NDPA_GAID_CAR_Audit_Work_Plan.xlsx" TargetMode="External"/><Relationship Id="rId17" Type="http://schemas.openxmlformats.org/officeDocument/2006/relationships/hyperlink" Target="University_NDPA_GAID_CAR_Audit_Work_Plan.xlsx" TargetMode="External"/><Relationship Id="rId18" Type="http://schemas.openxmlformats.org/officeDocument/2006/relationships/hyperlink" Target="University_NDPA_GAID_CAR_Audit_Work_Plan.xlsx" TargetMode="External"/><Relationship Id="rId19" Type="http://schemas.openxmlformats.org/officeDocument/2006/relationships/hyperlink" Target="University_NDPA_GAID_CAR_Audit_Work_Plan.xlsx" TargetMode="External"/><Relationship Id="rId20" Type="http://schemas.openxmlformats.org/officeDocument/2006/relationships/hyperlink" Target="University_NDPA_GAID_CAR_Audit_Work_Plan.xlsx" TargetMode="External"/><Relationship Id="rId21" Type="http://schemas.openxmlformats.org/officeDocument/2006/relationships/hyperlink" Target="University_NDPA_GAID_CAR_Audit_Work_Plan.xlsx" TargetMode="External"/><Relationship Id="rId22" Type="http://schemas.openxmlformats.org/officeDocument/2006/relationships/hyperlink" Target="University_NDPA_GAID_CAR_Audit_Work_Plan.xlsx" TargetMode="External"/><Relationship Id="rId23" Type="http://schemas.openxmlformats.org/officeDocument/2006/relationships/hyperlink" Target="University_NDPA_GAID_CAR_Audit_Work_Plan.xlsx" TargetMode="External"/><Relationship Id="rId24" Type="http://schemas.openxmlformats.org/officeDocument/2006/relationships/hyperlink" Target="University_NDPA_GAID_CAR_Audit_Work_Plan.xlsx" TargetMode="External"/><Relationship Id="rId25" Type="http://schemas.openxmlformats.org/officeDocument/2006/relationships/hyperlink" Target="University_NDPA_GAID_CAR_Audit_Work_Plan.xlsx" TargetMode="External"/><Relationship Id="rId26" Type="http://schemas.openxmlformats.org/officeDocument/2006/relationships/hyperlink" Target="University_NDPA_GAID_CAR_Audit_Work_Plan.xlsx" TargetMode="External"/><Relationship Id="rId27" Type="http://schemas.openxmlformats.org/officeDocument/2006/relationships/hyperlink" Target="University_NDPA_GAID_CAR_Audit_Work_Plan.xlsx" TargetMode="External"/><Relationship Id="rId28" Type="http://schemas.openxmlformats.org/officeDocument/2006/relationships/hyperlink" Target="University_NDPA_GAID_CAR_Audit_Work_Plan.xlsx" TargetMode="External"/><Relationship Id="rId29" Type="http://schemas.openxmlformats.org/officeDocument/2006/relationships/hyperlink" Target="University_NDPA_GAID_CAR_Audit_Work_Plan.xlsx" TargetMode="External"/><Relationship Id="rId30" Type="http://schemas.openxmlformats.org/officeDocument/2006/relationships/hyperlink" Target="University_NDPA_GAID_CAR_Audit_Work_Plan.xlsx" TargetMode="External"/><Relationship Id="rId31" Type="http://schemas.openxmlformats.org/officeDocument/2006/relationships/hyperlink" Target="University_NDPA_GAID_CAR_Audit_Work_Plan.xlsx" TargetMode="External"/><Relationship Id="rId32" Type="http://schemas.openxmlformats.org/officeDocument/2006/relationships/hyperlink" Target="University_NDPA_GAID_CAR_Audit_Work_Plan.xlsx" TargetMode="External"/><Relationship Id="rId33" Type="http://schemas.openxmlformats.org/officeDocument/2006/relationships/hyperlink" Target="University_NDPA_GAID_CAR_Audit_Work_Plan.xlsx" TargetMode="External"/><Relationship Id="rId34" Type="http://schemas.openxmlformats.org/officeDocument/2006/relationships/hyperlink" Target="University_NDPA_GAID_CAR_Audit_Work_Plan.xlsx" TargetMode="External"/><Relationship Id="rId35" Type="http://schemas.openxmlformats.org/officeDocument/2006/relationships/hyperlink" Target="University_NDPA_GAID_CAR_Audit_Work_Plan.xlsx" TargetMode="External"/><Relationship Id="rId36" Type="http://schemas.openxmlformats.org/officeDocument/2006/relationships/hyperlink" Target="University_NDPA_GAID_CAR_Audit_Work_Plan.xlsx" TargetMode="External"/><Relationship Id="rId37" Type="http://schemas.openxmlformats.org/officeDocument/2006/relationships/hyperlink" Target="University_NDPA_GAID_CAR_Audit_Work_Plan.xlsx" TargetMode="External"/><Relationship Id="rId38" Type="http://schemas.openxmlformats.org/officeDocument/2006/relationships/hyperlink" Target="University_NDPA_GAID_CAR_Audit_Work_Plan.xlsx"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University_NDPA_GAID_CAR_Audit_Work_Plan.xlsx" TargetMode="External"/></Relationships>
</file>

<file path=xl/worksheets/sheet1.xml><?xml version="1.0" encoding="utf-8"?>
<worksheet xmlns:r="http://schemas.openxmlformats.org/officeDocument/2006/relationships" xmlns="http://schemas.openxmlformats.org/spreadsheetml/2006/main">
  <dimension ref="B1:D29"/>
  <sheetViews>
    <sheetView workbookViewId="0" topLeftCell="C1" showGridLines="0">
      <selection activeCell="A1" sqref="A1"/>
    </sheetView>
  </sheetViews>
  <sheetFormatPr defaultRowHeight="15.0" zeroHeight="1"/>
  <cols>
    <col min="1" max="1" customWidth="1" width="3.0" style="0"/>
    <col min="2" max="2" customWidth="1" width="28.0" style="0"/>
    <col min="3" max="3" customWidth="1" width="95.0" style="0"/>
  </cols>
  <sheetData>
    <row r="2" spans="8:8" ht="19.7">
      <c r="B2" s="1" t="s">
        <v>0</v>
      </c>
    </row>
    <row r="3" spans="8:8" ht="15.0">
      <c r="B3" s="2" t="s">
        <v>1</v>
      </c>
    </row>
    <row r="5" spans="8:8" ht="45.0" customHeight="1">
      <c r="B5" s="3" t="s">
        <v>2</v>
      </c>
      <c r="C5" s="4" t="s">
        <v>3</v>
      </c>
    </row>
    <row r="6" spans="8:8" ht="30.0" customHeight="1">
      <c r="B6" s="3" t="s">
        <v>4</v>
      </c>
      <c r="C6" s="4" t="s">
        <v>5</v>
      </c>
    </row>
    <row r="7" spans="8:8" ht="45.0" customHeight="1">
      <c r="B7" s="3" t="s">
        <v>6</v>
      </c>
      <c r="C7" s="4" t="s">
        <v>7</v>
      </c>
    </row>
    <row r="8" spans="8:8" ht="30.0" customHeight="1">
      <c r="B8" s="3" t="s">
        <v>8</v>
      </c>
      <c r="C8" s="4" t="s">
        <v>9</v>
      </c>
    </row>
    <row r="9" spans="8:8" ht="45.0" customHeight="1">
      <c r="B9" s="3" t="s">
        <v>10</v>
      </c>
      <c r="C9" s="4" t="s">
        <v>11</v>
      </c>
    </row>
    <row r="10" spans="8:8" ht="45.0" customHeight="1">
      <c r="B10" s="3" t="s">
        <v>12</v>
      </c>
      <c r="C10" s="4" t="s">
        <v>13</v>
      </c>
    </row>
    <row r="11" spans="8:8" ht="30.0" customHeight="1">
      <c r="B11" s="3" t="s">
        <v>14</v>
      </c>
      <c r="C11" s="4" t="s">
        <v>15</v>
      </c>
    </row>
    <row r="12" spans="8:8" ht="30.0" customHeight="1">
      <c r="B12" s="3" t="s">
        <v>16</v>
      </c>
      <c r="C12" s="4" t="s">
        <v>17</v>
      </c>
    </row>
    <row r="13" spans="8:8" ht="45.0" customHeight="1">
      <c r="B13" s="3" t="s">
        <v>18</v>
      </c>
      <c r="C13" s="4" t="s">
        <v>19</v>
      </c>
    </row>
    <row r="15" spans="8:8" ht="15.0">
      <c r="B15" s="5" t="s">
        <v>20</v>
      </c>
    </row>
    <row r="16" spans="8:8" ht="15.0">
      <c r="B16" s="6"/>
      <c r="C16" s="7" t="s">
        <v>21</v>
      </c>
    </row>
    <row r="17" spans="8:8" ht="15.0">
      <c r="B17" s="8"/>
      <c r="C17" s="7" t="s">
        <v>22</v>
      </c>
    </row>
    <row r="18" spans="8:8" ht="15.0">
      <c r="B18" s="9"/>
      <c r="C18" s="7" t="s">
        <v>23</v>
      </c>
    </row>
    <row r="20" spans="8:8" ht="15.0">
      <c r="B20" s="5" t="s">
        <v>24</v>
      </c>
    </row>
    <row r="21" spans="8:8" ht="15.0">
      <c r="B21" s="10" t="s">
        <v>25</v>
      </c>
      <c r="C21" s="11" t="s">
        <v>26</v>
      </c>
    </row>
    <row r="22" spans="8:8" ht="15.0">
      <c r="B22" s="10" t="s">
        <v>27</v>
      </c>
      <c r="C22" s="11" t="s">
        <v>28</v>
      </c>
    </row>
    <row r="23" spans="8:8" ht="15.0">
      <c r="B23" s="10" t="s">
        <v>29</v>
      </c>
      <c r="C23" s="11" t="s">
        <v>30</v>
      </c>
    </row>
    <row r="24" spans="8:8" ht="15.0">
      <c r="B24" s="10" t="s">
        <v>31</v>
      </c>
      <c r="C24" s="11" t="s">
        <v>32</v>
      </c>
    </row>
    <row r="25" spans="8:8" ht="15.0">
      <c r="B25" s="10" t="s">
        <v>33</v>
      </c>
      <c r="C25" s="11" t="s">
        <v>34</v>
      </c>
    </row>
    <row r="26" spans="8:8" ht="15.0">
      <c r="B26" s="10" t="s">
        <v>35</v>
      </c>
      <c r="C26" s="11" t="s">
        <v>36</v>
      </c>
    </row>
    <row r="27" spans="8:8" ht="23.85">
      <c r="B27" s="10" t="s">
        <v>37</v>
      </c>
      <c r="C27" s="11" t="s">
        <v>38</v>
      </c>
    </row>
    <row r="28" spans="8:8" ht="15.0">
      <c r="B28" s="10" t="s">
        <v>39</v>
      </c>
      <c r="C28" s="11" t="s">
        <v>40</v>
      </c>
    </row>
    <row r="29" spans="8:8" ht="15.0">
      <c r="B29" s="10" t="s">
        <v>41</v>
      </c>
      <c r="C29" s="11" t="s">
        <v>42</v>
      </c>
    </row>
  </sheetData>
  <pageMargins left="0.75" right="0.75" top="1.0" bottom="1.0" header="0.511811023622047" footer="0.511811023622047"/>
  <pageSetup paperSize="9"/>
</worksheet>
</file>

<file path=xl/worksheets/sheet2.xml><?xml version="1.0" encoding="utf-8"?>
<worksheet xmlns:r="http://schemas.openxmlformats.org/officeDocument/2006/relationships" xmlns="http://schemas.openxmlformats.org/spreadsheetml/2006/main">
  <dimension ref="A1:O53"/>
  <sheetViews>
    <sheetView workbookViewId="0" showGridLines="0">
      <pane xSplit="2" ySplit="13" topLeftCell="C14" state="frozen" activePane="bottomRight"/>
      <selection pane="bottomRight" activeCell="A1" sqref="A1"/>
    </sheetView>
  </sheetViews>
  <sheetFormatPr defaultRowHeight="15.0" zeroHeight="1"/>
  <cols>
    <col min="1" max="1" customWidth="1" width="5.0" style="0"/>
    <col min="2" max="2" customWidth="1" width="46.0" style="0"/>
    <col min="3" max="3" customWidth="1" width="19.0" style="0"/>
    <col min="4" max="4" customWidth="1" width="30.0" style="0"/>
    <col min="5" max="5" customWidth="1" width="18.0" style="0"/>
    <col min="6" max="6" customWidth="1" width="12.0" style="0"/>
    <col min="7" max="7" customWidth="1" width="13.0" style="0"/>
    <col min="8" max="8" customWidth="1" width="10.0" style="0"/>
    <col min="9" max="10" customWidth="1" width="11.0" style="0"/>
    <col min="11" max="11" customWidth="1" width="9.0" style="0"/>
    <col min="12" max="12" customWidth="1" width="13.0" style="0"/>
    <col min="13" max="13" customWidth="1" width="9.0" style="0"/>
    <col min="14" max="14" customWidth="1" width="10.0" style="0"/>
  </cols>
  <sheetData>
    <row r="1" spans="8:8" ht="19.7">
      <c r="A1" s="1" t="s">
        <v>43</v>
      </c>
    </row>
    <row r="2" spans="8:8" ht="15.0">
      <c r="A2" s="12" t="s">
        <v>44</v>
      </c>
    </row>
    <row r="4" spans="8:8" ht="15.0">
      <c r="A4" s="5" t="s">
        <v>45</v>
      </c>
    </row>
    <row r="5" spans="8:8" ht="23.85">
      <c r="A5" s="13" t="s">
        <v>46</v>
      </c>
      <c r="B5" s="13" t="s">
        <v>47</v>
      </c>
      <c r="C5" s="13" t="s">
        <v>48</v>
      </c>
      <c r="D5" s="13" t="s">
        <v>34</v>
      </c>
      <c r="E5" s="13" t="s">
        <v>49</v>
      </c>
      <c r="F5" s="13" t="s">
        <v>50</v>
      </c>
    </row>
    <row r="6" spans="8:8" ht="15.0">
      <c r="A6" s="14" t="s">
        <v>51</v>
      </c>
      <c r="B6" s="15">
        <f>COUNTIF($C$14:$C$51,A6)</f>
        <v>1.0</v>
      </c>
      <c r="C6" s="15">
        <f>SUMIF($C$14:$C$51,A6,$H$14:$H$51)</f>
        <v>39.0</v>
      </c>
      <c r="D6" s="15">
        <f>SUMIF($C$14:$C$51,A6,$I$14:$I$51)</f>
        <v>0.0</v>
      </c>
      <c r="E6" s="15">
        <f>SUMIF($C$14:$C$51,A6,$L$14:$L$51)</f>
        <v>0.0</v>
      </c>
      <c r="F6" s="16" t="str">
        <f>_xlfn.IFERROR(_xlfn.AVERAGEIF($C$14:$C$51,A6,$M$14:$M$51),"")</f>
        <v/>
      </c>
    </row>
    <row r="7" spans="8:8" ht="15.0">
      <c r="A7" s="14" t="s">
        <v>52</v>
      </c>
      <c r="B7" s="15">
        <f>COUNTIF($C$14:$C$51,A7)</f>
        <v>10.0</v>
      </c>
      <c r="C7" s="15">
        <f>SUMIF($C$14:$C$51,A7,$H$14:$H$51)</f>
        <v>248.0</v>
      </c>
      <c r="D7" s="15">
        <f>SUMIF($C$14:$C$51,A7,$I$14:$I$51)</f>
        <v>0.0</v>
      </c>
      <c r="E7" s="15">
        <f>SUMIF($C$14:$C$51,A7,$L$14:$L$51)</f>
        <v>0.0</v>
      </c>
      <c r="F7" s="16" t="str">
        <f>_xlfn.IFERROR(_xlfn.AVERAGEIF($C$14:$C$51,A7,$M$14:$M$51),"")</f>
        <v/>
      </c>
    </row>
    <row r="8" spans="8:8" ht="15.0">
      <c r="A8" s="14" t="s">
        <v>53</v>
      </c>
      <c r="B8" s="15">
        <f>COUNTIF($C$14:$C$51,A8)</f>
        <v>9.0</v>
      </c>
      <c r="C8" s="15">
        <f>SUMIF($C$14:$C$51,A8,$H$14:$H$51)</f>
        <v>218.0</v>
      </c>
      <c r="D8" s="15">
        <f>SUMIF($C$14:$C$51,A8,$I$14:$I$51)</f>
        <v>0.0</v>
      </c>
      <c r="E8" s="15">
        <f>SUMIF($C$14:$C$51,A8,$L$14:$L$51)</f>
        <v>0.0</v>
      </c>
      <c r="F8" s="16" t="str">
        <f>_xlfn.IFERROR(_xlfn.AVERAGEIF($C$14:$C$51,A8,$M$14:$M$51),"")</f>
        <v/>
      </c>
    </row>
    <row r="9" spans="8:8" ht="15.0">
      <c r="A9" s="14" t="s">
        <v>54</v>
      </c>
      <c r="B9" s="15">
        <f>COUNTIF($C$14:$C$51,A9)</f>
        <v>13.0</v>
      </c>
      <c r="C9" s="15">
        <f>SUMIF($C$14:$C$51,A9,$H$14:$H$51)</f>
        <v>306.0</v>
      </c>
      <c r="D9" s="15">
        <f>SUMIF($C$14:$C$51,A9,$I$14:$I$51)</f>
        <v>0.0</v>
      </c>
      <c r="E9" s="15">
        <f>SUMIF($C$14:$C$51,A9,$L$14:$L$51)</f>
        <v>0.0</v>
      </c>
      <c r="F9" s="16" t="str">
        <f>_xlfn.IFERROR(_xlfn.AVERAGEIF($C$14:$C$51,A9,$M$14:$M$51),"")</f>
        <v/>
      </c>
    </row>
    <row r="10" spans="8:8" ht="15.0">
      <c r="A10" s="14" t="s">
        <v>55</v>
      </c>
      <c r="B10" s="15">
        <f>COUNTIF($C$14:$C$51,A10)</f>
        <v>5.0</v>
      </c>
      <c r="C10" s="15">
        <f>SUMIF($C$14:$C$51,A10,$H$14:$H$51)</f>
        <v>122.0</v>
      </c>
      <c r="D10" s="15">
        <f>SUMIF($C$14:$C$51,A10,$I$14:$I$51)</f>
        <v>0.0</v>
      </c>
      <c r="E10" s="15">
        <f>SUMIF($C$14:$C$51,A10,$L$14:$L$51)</f>
        <v>0.0</v>
      </c>
      <c r="F10" s="16" t="str">
        <f>_xlfn.IFERROR(_xlfn.AVERAGEIF($C$14:$C$51,A10,$M$14:$M$51),"")</f>
        <v/>
      </c>
    </row>
    <row r="11" spans="8:8" ht="15.0">
      <c r="A11" s="17" t="s">
        <v>56</v>
      </c>
      <c r="B11" s="18">
        <f>SUM(B6:B10)</f>
        <v>38.0</v>
      </c>
      <c r="C11" s="18">
        <f>SUM(C6:C10)</f>
        <v>933.0</v>
      </c>
      <c r="D11" s="18">
        <f>SUM(D6:D10)</f>
        <v>0.0</v>
      </c>
      <c r="E11" s="18">
        <f>SUM(E6:E10)</f>
        <v>0.0</v>
      </c>
      <c r="F11" s="19" t="str">
        <f>_xlfn.IFERROR(AVERAGE($M$14:$M$51),"")</f>
        <v/>
      </c>
    </row>
    <row r="12" spans="8:8" ht="15.0">
      <c r="A12" s="5" t="s">
        <v>57</v>
      </c>
    </row>
    <row r="13" spans="8:8" ht="23.85">
      <c r="A13" s="13" t="s">
        <v>58</v>
      </c>
      <c r="B13" s="13" t="s">
        <v>59</v>
      </c>
      <c r="C13" s="13" t="s">
        <v>46</v>
      </c>
      <c r="D13" s="13" t="s">
        <v>60</v>
      </c>
      <c r="E13" s="13" t="s">
        <v>61</v>
      </c>
      <c r="F13" s="13" t="s">
        <v>62</v>
      </c>
      <c r="G13" s="13" t="s">
        <v>63</v>
      </c>
      <c r="H13" s="13" t="s">
        <v>48</v>
      </c>
      <c r="I13" s="13" t="s">
        <v>34</v>
      </c>
      <c r="J13" s="13" t="s">
        <v>64</v>
      </c>
      <c r="K13" s="13" t="s">
        <v>65</v>
      </c>
      <c r="L13" s="13" t="s">
        <v>49</v>
      </c>
      <c r="M13" s="13" t="s">
        <v>66</v>
      </c>
      <c r="N13" s="13" t="s">
        <v>67</v>
      </c>
    </row>
    <row r="14" spans="8:8" ht="23.85">
      <c r="A14" s="20">
        <v>1.0</v>
      </c>
      <c r="B14" s="21" t="s">
        <v>68</v>
      </c>
      <c r="C14" s="20" t="s">
        <v>51</v>
      </c>
      <c r="D14" s="21" t="s">
        <v>69</v>
      </c>
      <c r="E14" s="22" t="str">
        <f>'CEN-DPO Office'!C7</f>
        <v>[Enter name]</v>
      </c>
      <c r="F14" s="23" t="str">
        <f>'CEN-DPO Office'!C11</f>
        <v>High</v>
      </c>
      <c r="G14" s="24">
        <f>'CEN-DPO Office'!K5</f>
        <v>46328.0</v>
      </c>
      <c r="H14" s="23">
        <f>'CEN-DPO Office'!K7</f>
        <v>39.0</v>
      </c>
      <c r="I14" s="23">
        <f>'CEN-DPO Office'!K8</f>
        <v>0.0</v>
      </c>
      <c r="J14" s="23">
        <f>'CEN-DPO Office'!K9</f>
        <v>0.0</v>
      </c>
      <c r="K14" s="23">
        <f>'CEN-DPO Office'!K10</f>
        <v>0.0</v>
      </c>
      <c r="L14" s="23">
        <f>'CEN-DPO Office'!K11</f>
        <v>0.0</v>
      </c>
      <c r="M14" s="25" t="str">
        <f>'CEN-DPO Office'!K13</f>
        <v/>
      </c>
      <c r="N14" s="26" t="s">
        <v>70</v>
      </c>
    </row>
    <row r="15" spans="8:8" ht="23.85">
      <c r="A15" s="20">
        <v>2.0</v>
      </c>
      <c r="B15" s="21" t="s">
        <v>71</v>
      </c>
      <c r="C15" s="20" t="s">
        <v>52</v>
      </c>
      <c r="D15" s="21" t="s">
        <v>72</v>
      </c>
      <c r="E15" s="22" t="str">
        <f>'DIR-ICT'!C7</f>
        <v>[Enter name]</v>
      </c>
      <c r="F15" s="23" t="str">
        <f>'DIR-ICT'!C11</f>
        <v>High</v>
      </c>
      <c r="G15" s="24">
        <f>'DIR-ICT'!K5</f>
        <v>46342.0</v>
      </c>
      <c r="H15" s="23">
        <f>'DIR-ICT'!K7</f>
        <v>28.0</v>
      </c>
      <c r="I15" s="23">
        <f>'DIR-ICT'!K8</f>
        <v>0.0</v>
      </c>
      <c r="J15" s="23">
        <f>'DIR-ICT'!K9</f>
        <v>0.0</v>
      </c>
      <c r="K15" s="23">
        <f>'DIR-ICT'!K10</f>
        <v>0.0</v>
      </c>
      <c r="L15" s="23">
        <f>'DIR-ICT'!K11</f>
        <v>0.0</v>
      </c>
      <c r="M15" s="25" t="str">
        <f>'DIR-ICT'!K13</f>
        <v/>
      </c>
      <c r="N15" s="26" t="s">
        <v>70</v>
      </c>
    </row>
    <row r="16" spans="8:8" ht="15.0">
      <c r="A16" s="20">
        <v>3.0</v>
      </c>
      <c r="B16" s="21" t="s">
        <v>73</v>
      </c>
      <c r="C16" s="20" t="s">
        <v>52</v>
      </c>
      <c r="D16" s="21" t="s">
        <v>72</v>
      </c>
      <c r="E16" s="22" t="str">
        <f>'DIR-Academic Planning'!C7</f>
        <v>[Enter name]</v>
      </c>
      <c r="F16" s="23" t="str">
        <f>'DIR-Academic Planning'!C11</f>
        <v>Medium</v>
      </c>
      <c r="G16" s="24">
        <f>'DIR-Academic Planning'!K5</f>
        <v>46342.0</v>
      </c>
      <c r="H16" s="23">
        <f>'DIR-Academic Planning'!K7</f>
        <v>24.0</v>
      </c>
      <c r="I16" s="23">
        <f>'DIR-Academic Planning'!K8</f>
        <v>0.0</v>
      </c>
      <c r="J16" s="23">
        <f>'DIR-Academic Planning'!K9</f>
        <v>0.0</v>
      </c>
      <c r="K16" s="23">
        <f>'DIR-Academic Planning'!K10</f>
        <v>0.0</v>
      </c>
      <c r="L16" s="23">
        <f>'DIR-Academic Planning'!K11</f>
        <v>0.0</v>
      </c>
      <c r="M16" s="25" t="str">
        <f>'DIR-Academic Planning'!K13</f>
        <v/>
      </c>
      <c r="N16" s="26" t="s">
        <v>70</v>
      </c>
    </row>
    <row r="17" spans="8:8" ht="15.0">
      <c r="A17" s="20">
        <v>4.0</v>
      </c>
      <c r="B17" s="21" t="s">
        <v>74</v>
      </c>
      <c r="C17" s="20" t="s">
        <v>52</v>
      </c>
      <c r="D17" s="21" t="s">
        <v>72</v>
      </c>
      <c r="E17" s="22" t="str">
        <f>'DIR-Quality Assurance'!C7</f>
        <v>[Enter name]</v>
      </c>
      <c r="F17" s="23" t="str">
        <f>'DIR-Quality Assurance'!C11</f>
        <v>Medium</v>
      </c>
      <c r="G17" s="24">
        <f>'DIR-Quality Assurance'!K5</f>
        <v>46342.0</v>
      </c>
      <c r="H17" s="23">
        <f>'DIR-Quality Assurance'!K7</f>
        <v>24.0</v>
      </c>
      <c r="I17" s="23">
        <f>'DIR-Quality Assurance'!K8</f>
        <v>0.0</v>
      </c>
      <c r="J17" s="23">
        <f>'DIR-Quality Assurance'!K9</f>
        <v>0.0</v>
      </c>
      <c r="K17" s="23">
        <f>'DIR-Quality Assurance'!K10</f>
        <v>0.0</v>
      </c>
      <c r="L17" s="23">
        <f>'DIR-Quality Assurance'!K11</f>
        <v>0.0</v>
      </c>
      <c r="M17" s="25" t="str">
        <f>'DIR-Quality Assurance'!K13</f>
        <v/>
      </c>
      <c r="N17" s="26" t="s">
        <v>70</v>
      </c>
    </row>
    <row r="18" spans="8:8" ht="15.0">
      <c r="A18" s="20">
        <v>5.0</v>
      </c>
      <c r="B18" s="21" t="s">
        <v>75</v>
      </c>
      <c r="C18" s="20" t="s">
        <v>52</v>
      </c>
      <c r="D18" s="21" t="s">
        <v>72</v>
      </c>
      <c r="E18" s="22" t="str">
        <f>'DIR-Physical Planning'!C7</f>
        <v>[Enter name]</v>
      </c>
      <c r="F18" s="23" t="str">
        <f>'DIR-Physical Planning'!C11</f>
        <v>Low</v>
      </c>
      <c r="G18" s="24">
        <f>'DIR-Physical Planning'!K5</f>
        <v>46342.0</v>
      </c>
      <c r="H18" s="23">
        <f>'DIR-Physical Planning'!K7</f>
        <v>23.0</v>
      </c>
      <c r="I18" s="23">
        <f>'DIR-Physical Planning'!K8</f>
        <v>0.0</v>
      </c>
      <c r="J18" s="23">
        <f>'DIR-Physical Planning'!K9</f>
        <v>0.0</v>
      </c>
      <c r="K18" s="23">
        <f>'DIR-Physical Planning'!K10</f>
        <v>0.0</v>
      </c>
      <c r="L18" s="23">
        <f>'DIR-Physical Planning'!K11</f>
        <v>0.0</v>
      </c>
      <c r="M18" s="25" t="str">
        <f>'DIR-Physical Planning'!K13</f>
        <v/>
      </c>
      <c r="N18" s="26" t="s">
        <v>70</v>
      </c>
    </row>
    <row r="19" spans="8:8" ht="15.0">
      <c r="A19" s="20">
        <v>6.0</v>
      </c>
      <c r="B19" s="21" t="s">
        <v>76</v>
      </c>
      <c r="C19" s="20" t="s">
        <v>52</v>
      </c>
      <c r="D19" s="21" t="s">
        <v>72</v>
      </c>
      <c r="E19" s="22" t="str">
        <f>'DIR-Health Services'!C7</f>
        <v>[Enter name]</v>
      </c>
      <c r="F19" s="23" t="str">
        <f>'DIR-Health Services'!C11</f>
        <v>High</v>
      </c>
      <c r="G19" s="24">
        <f>'DIR-Health Services'!K5</f>
        <v>46342.0</v>
      </c>
      <c r="H19" s="23">
        <f>'DIR-Health Services'!K7</f>
        <v>26.0</v>
      </c>
      <c r="I19" s="23">
        <f>'DIR-Health Services'!K8</f>
        <v>0.0</v>
      </c>
      <c r="J19" s="23">
        <f>'DIR-Health Services'!K9</f>
        <v>0.0</v>
      </c>
      <c r="K19" s="23">
        <f>'DIR-Health Services'!K10</f>
        <v>0.0</v>
      </c>
      <c r="L19" s="23">
        <f>'DIR-Health Services'!K11</f>
        <v>0.0</v>
      </c>
      <c r="M19" s="25" t="str">
        <f>'DIR-Health Services'!K13</f>
        <v/>
      </c>
      <c r="N19" s="26" t="s">
        <v>70</v>
      </c>
    </row>
    <row r="20" spans="8:8" ht="15.0">
      <c r="A20" s="20">
        <v>7.0</v>
      </c>
      <c r="B20" s="21" t="s">
        <v>77</v>
      </c>
      <c r="C20" s="20" t="s">
        <v>52</v>
      </c>
      <c r="D20" s="21" t="s">
        <v>72</v>
      </c>
      <c r="E20" s="22" t="str">
        <f>'DIR-Security Services'!C7</f>
        <v>[Enter name]</v>
      </c>
      <c r="F20" s="23" t="str">
        <f>'DIR-Security Services'!C11</f>
        <v>High</v>
      </c>
      <c r="G20" s="24">
        <f>'DIR-Security Services'!K5</f>
        <v>46342.0</v>
      </c>
      <c r="H20" s="23">
        <f>'DIR-Security Services'!K7</f>
        <v>26.0</v>
      </c>
      <c r="I20" s="23">
        <f>'DIR-Security Services'!K8</f>
        <v>0.0</v>
      </c>
      <c r="J20" s="23">
        <f>'DIR-Security Services'!K9</f>
        <v>0.0</v>
      </c>
      <c r="K20" s="23">
        <f>'DIR-Security Services'!K10</f>
        <v>0.0</v>
      </c>
      <c r="L20" s="23">
        <f>'DIR-Security Services'!K11</f>
        <v>0.0</v>
      </c>
      <c r="M20" s="25" t="str">
        <f>'DIR-Security Services'!K13</f>
        <v/>
      </c>
      <c r="N20" s="26" t="s">
        <v>70</v>
      </c>
    </row>
    <row r="21" spans="8:8" ht="15.0">
      <c r="A21" s="20">
        <v>8.0</v>
      </c>
      <c r="B21" s="21" t="s">
        <v>78</v>
      </c>
      <c r="C21" s="20" t="s">
        <v>52</v>
      </c>
      <c r="D21" s="21" t="s">
        <v>79</v>
      </c>
      <c r="E21" s="22" t="str">
        <f>'DIR-Research &amp; Dev'!C7</f>
        <v>[Enter name]</v>
      </c>
      <c r="F21" s="23" t="str">
        <f>'DIR-Research &amp; Dev'!C11</f>
        <v>Medium</v>
      </c>
      <c r="G21" s="24">
        <f>'DIR-Research &amp; Dev'!K5</f>
        <v>46342.0</v>
      </c>
      <c r="H21" s="23">
        <f>'DIR-Research &amp; Dev'!K7</f>
        <v>24.0</v>
      </c>
      <c r="I21" s="23">
        <f>'DIR-Research &amp; Dev'!K8</f>
        <v>0.0</v>
      </c>
      <c r="J21" s="23">
        <f>'DIR-Research &amp; Dev'!K9</f>
        <v>0.0</v>
      </c>
      <c r="K21" s="23">
        <f>'DIR-Research &amp; Dev'!K10</f>
        <v>0.0</v>
      </c>
      <c r="L21" s="23">
        <f>'DIR-Research &amp; Dev'!K11</f>
        <v>0.0</v>
      </c>
      <c r="M21" s="25" t="str">
        <f>'DIR-Research &amp; Dev'!K13</f>
        <v/>
      </c>
      <c r="N21" s="26" t="s">
        <v>70</v>
      </c>
    </row>
    <row r="22" spans="8:8" ht="15.0">
      <c r="A22" s="20">
        <v>9.0</v>
      </c>
      <c r="B22" s="21" t="s">
        <v>80</v>
      </c>
      <c r="C22" s="20" t="s">
        <v>52</v>
      </c>
      <c r="D22" s="21" t="s">
        <v>72</v>
      </c>
      <c r="E22" s="22" t="str">
        <f>'DIR-Linkages'!C7</f>
        <v>[Enter name]</v>
      </c>
      <c r="F22" s="23" t="str">
        <f>'DIR-Linkages'!C11</f>
        <v>High</v>
      </c>
      <c r="G22" s="24">
        <f>'DIR-Linkages'!K5</f>
        <v>46342.0</v>
      </c>
      <c r="H22" s="23">
        <f>'DIR-Linkages'!K7</f>
        <v>24.0</v>
      </c>
      <c r="I22" s="23">
        <f>'DIR-Linkages'!K8</f>
        <v>0.0</v>
      </c>
      <c r="J22" s="23">
        <f>'DIR-Linkages'!K9</f>
        <v>0.0</v>
      </c>
      <c r="K22" s="23">
        <f>'DIR-Linkages'!K10</f>
        <v>0.0</v>
      </c>
      <c r="L22" s="23">
        <f>'DIR-Linkages'!K11</f>
        <v>0.0</v>
      </c>
      <c r="M22" s="25" t="str">
        <f>'DIR-Linkages'!K13</f>
        <v/>
      </c>
      <c r="N22" s="26" t="s">
        <v>70</v>
      </c>
    </row>
    <row r="23" spans="8:8" ht="15.0">
      <c r="A23" s="20">
        <v>10.0</v>
      </c>
      <c r="B23" s="21" t="s">
        <v>81</v>
      </c>
      <c r="C23" s="20" t="s">
        <v>52</v>
      </c>
      <c r="D23" s="21" t="s">
        <v>82</v>
      </c>
      <c r="E23" s="22" t="str">
        <f>'DIR-Student Affairs'!C7</f>
        <v>[Enter name]</v>
      </c>
      <c r="F23" s="23" t="str">
        <f>'DIR-Student Affairs'!C11</f>
        <v>High</v>
      </c>
      <c r="G23" s="24">
        <f>'DIR-Student Affairs'!K5</f>
        <v>46342.0</v>
      </c>
      <c r="H23" s="23">
        <f>'DIR-Student Affairs'!K7</f>
        <v>25.0</v>
      </c>
      <c r="I23" s="23">
        <f>'DIR-Student Affairs'!K8</f>
        <v>0.0</v>
      </c>
      <c r="J23" s="23">
        <f>'DIR-Student Affairs'!K9</f>
        <v>0.0</v>
      </c>
      <c r="K23" s="23">
        <f>'DIR-Student Affairs'!K10</f>
        <v>0.0</v>
      </c>
      <c r="L23" s="23">
        <f>'DIR-Student Affairs'!K11</f>
        <v>0.0</v>
      </c>
      <c r="M23" s="25" t="str">
        <f>'DIR-Student Affairs'!K13</f>
        <v/>
      </c>
      <c r="N23" s="26" t="s">
        <v>70</v>
      </c>
    </row>
    <row r="24" spans="8:8" ht="15.0">
      <c r="A24" s="20">
        <v>11.0</v>
      </c>
      <c r="B24" s="21" t="s">
        <v>83</v>
      </c>
      <c r="C24" s="20" t="s">
        <v>52</v>
      </c>
      <c r="D24" s="21" t="s">
        <v>72</v>
      </c>
      <c r="E24" s="22" t="str">
        <f>'DIR-Advancement'!C7</f>
        <v>[Enter name]</v>
      </c>
      <c r="F24" s="23" t="str">
        <f>'DIR-Advancement'!C11</f>
        <v>Medium</v>
      </c>
      <c r="G24" s="24">
        <f>'DIR-Advancement'!K5</f>
        <v>46342.0</v>
      </c>
      <c r="H24" s="23">
        <f>'DIR-Advancement'!K7</f>
        <v>24.0</v>
      </c>
      <c r="I24" s="23">
        <f>'DIR-Advancement'!K8</f>
        <v>0.0</v>
      </c>
      <c r="J24" s="23">
        <f>'DIR-Advancement'!K9</f>
        <v>0.0</v>
      </c>
      <c r="K24" s="23">
        <f>'DIR-Advancement'!K10</f>
        <v>0.0</v>
      </c>
      <c r="L24" s="23">
        <f>'DIR-Advancement'!K11</f>
        <v>0.0</v>
      </c>
      <c r="M24" s="25" t="str">
        <f>'DIR-Advancement'!K13</f>
        <v/>
      </c>
      <c r="N24" s="26" t="s">
        <v>70</v>
      </c>
    </row>
    <row r="25" spans="8:8" ht="15.0">
      <c r="A25" s="20">
        <v>12.0</v>
      </c>
      <c r="B25" s="21" t="s">
        <v>84</v>
      </c>
      <c r="C25" s="20" t="s">
        <v>53</v>
      </c>
      <c r="D25" s="21" t="s">
        <v>85</v>
      </c>
      <c r="E25" s="22" t="str">
        <f>'DEPT-HR Establishments'!C7</f>
        <v>[Enter name]</v>
      </c>
      <c r="F25" s="23" t="str">
        <f>'DEPT-HR Establishments'!C11</f>
        <v>High</v>
      </c>
      <c r="G25" s="24">
        <f>'DEPT-HR Establishments'!K5</f>
        <v>46391.0</v>
      </c>
      <c r="H25" s="23">
        <f>'DEPT-HR Establishments'!K7</f>
        <v>25.0</v>
      </c>
      <c r="I25" s="23">
        <f>'DEPT-HR Establishments'!K8</f>
        <v>0.0</v>
      </c>
      <c r="J25" s="23">
        <f>'DEPT-HR Establishments'!K9</f>
        <v>0.0</v>
      </c>
      <c r="K25" s="23">
        <f>'DEPT-HR Establishments'!K10</f>
        <v>0.0</v>
      </c>
      <c r="L25" s="23">
        <f>'DEPT-HR Establishments'!K11</f>
        <v>0.0</v>
      </c>
      <c r="M25" s="25" t="str">
        <f>'DEPT-HR Establishments'!K13</f>
        <v/>
      </c>
      <c r="N25" s="26" t="s">
        <v>70</v>
      </c>
    </row>
    <row r="26" spans="8:8" ht="15.0">
      <c r="A26" s="20">
        <v>13.0</v>
      </c>
      <c r="B26" s="21" t="s">
        <v>86</v>
      </c>
      <c r="C26" s="20" t="s">
        <v>53</v>
      </c>
      <c r="D26" s="21" t="s">
        <v>85</v>
      </c>
      <c r="E26" s="22" t="str">
        <f>'DEPT-Admissions'!C7</f>
        <v>[Enter name]</v>
      </c>
      <c r="F26" s="23" t="str">
        <f>'DEPT-Admissions'!C11</f>
        <v>High</v>
      </c>
      <c r="G26" s="24">
        <f>'DEPT-Admissions'!K5</f>
        <v>46391.0</v>
      </c>
      <c r="H26" s="23">
        <f>'DEPT-Admissions'!K7</f>
        <v>26.0</v>
      </c>
      <c r="I26" s="23">
        <f>'DEPT-Admissions'!K8</f>
        <v>0.0</v>
      </c>
      <c r="J26" s="23">
        <f>'DEPT-Admissions'!K9</f>
        <v>0.0</v>
      </c>
      <c r="K26" s="23">
        <f>'DEPT-Admissions'!K10</f>
        <v>0.0</v>
      </c>
      <c r="L26" s="23">
        <f>'DEPT-Admissions'!K11</f>
        <v>0.0</v>
      </c>
      <c r="M26" s="25" t="str">
        <f>'DEPT-Admissions'!K13</f>
        <v/>
      </c>
      <c r="N26" s="26" t="s">
        <v>70</v>
      </c>
    </row>
    <row r="27" spans="8:8" ht="15.0">
      <c r="A27" s="20">
        <v>14.0</v>
      </c>
      <c r="B27" s="21" t="s">
        <v>87</v>
      </c>
      <c r="C27" s="20" t="s">
        <v>53</v>
      </c>
      <c r="D27" s="21" t="s">
        <v>85</v>
      </c>
      <c r="E27" s="22" t="str">
        <f>'DEPT-Exams &amp; Records'!C7</f>
        <v>[Enter name]</v>
      </c>
      <c r="F27" s="23" t="str">
        <f>'DEPT-Exams &amp; Records'!C11</f>
        <v>High</v>
      </c>
      <c r="G27" s="24">
        <f>'DEPT-Exams &amp; Records'!K5</f>
        <v>46391.0</v>
      </c>
      <c r="H27" s="23">
        <f>'DEPT-Exams &amp; Records'!K7</f>
        <v>24.0</v>
      </c>
      <c r="I27" s="23">
        <f>'DEPT-Exams &amp; Records'!K8</f>
        <v>0.0</v>
      </c>
      <c r="J27" s="23">
        <f>'DEPT-Exams &amp; Records'!K9</f>
        <v>0.0</v>
      </c>
      <c r="K27" s="23">
        <f>'DEPT-Exams &amp; Records'!K10</f>
        <v>0.0</v>
      </c>
      <c r="L27" s="23">
        <f>'DEPT-Exams &amp; Records'!K11</f>
        <v>0.0</v>
      </c>
      <c r="M27" s="25" t="str">
        <f>'DEPT-Exams &amp; Records'!K13</f>
        <v/>
      </c>
      <c r="N27" s="26" t="s">
        <v>70</v>
      </c>
    </row>
    <row r="28" spans="8:8" ht="15.0">
      <c r="A28" s="20">
        <v>15.0</v>
      </c>
      <c r="B28" s="21" t="s">
        <v>88</v>
      </c>
      <c r="C28" s="20" t="s">
        <v>53</v>
      </c>
      <c r="D28" s="21" t="s">
        <v>85</v>
      </c>
      <c r="E28" s="22" t="str">
        <f>'DEPT-Council &amp; Senate'!C7</f>
        <v>[Enter name]</v>
      </c>
      <c r="F28" s="23" t="str">
        <f>'DEPT-Council &amp; Senate'!C11</f>
        <v>Medium</v>
      </c>
      <c r="G28" s="24">
        <f>'DEPT-Council &amp; Senate'!K5</f>
        <v>46391.0</v>
      </c>
      <c r="H28" s="23">
        <f>'DEPT-Council &amp; Senate'!K7</f>
        <v>23.0</v>
      </c>
      <c r="I28" s="23">
        <f>'DEPT-Council &amp; Senate'!K8</f>
        <v>0.0</v>
      </c>
      <c r="J28" s="23">
        <f>'DEPT-Council &amp; Senate'!K9</f>
        <v>0.0</v>
      </c>
      <c r="K28" s="23">
        <f>'DEPT-Council &amp; Senate'!K10</f>
        <v>0.0</v>
      </c>
      <c r="L28" s="23">
        <f>'DEPT-Council &amp; Senate'!K11</f>
        <v>0.0</v>
      </c>
      <c r="M28" s="25" t="str">
        <f>'DEPT-Council &amp; Senate'!K13</f>
        <v/>
      </c>
      <c r="N28" s="26" t="s">
        <v>70</v>
      </c>
    </row>
    <row r="29" spans="8:8" ht="15.0">
      <c r="A29" s="20">
        <v>16.0</v>
      </c>
      <c r="B29" s="21" t="s">
        <v>89</v>
      </c>
      <c r="C29" s="20" t="s">
        <v>53</v>
      </c>
      <c r="D29" s="21" t="s">
        <v>72</v>
      </c>
      <c r="E29" s="22" t="str">
        <f>'DEPT-Bursary'!C7</f>
        <v>[Enter name]</v>
      </c>
      <c r="F29" s="23" t="str">
        <f>'DEPT-Bursary'!C11</f>
        <v>High</v>
      </c>
      <c r="G29" s="24">
        <f>'DEPT-Bursary'!K5</f>
        <v>46391.0</v>
      </c>
      <c r="H29" s="23">
        <f>'DEPT-Bursary'!K7</f>
        <v>24.0</v>
      </c>
      <c r="I29" s="23">
        <f>'DEPT-Bursary'!K8</f>
        <v>0.0</v>
      </c>
      <c r="J29" s="23">
        <f>'DEPT-Bursary'!K9</f>
        <v>0.0</v>
      </c>
      <c r="K29" s="23">
        <f>'DEPT-Bursary'!K10</f>
        <v>0.0</v>
      </c>
      <c r="L29" s="23">
        <f>'DEPT-Bursary'!K11</f>
        <v>0.0</v>
      </c>
      <c r="M29" s="25" t="str">
        <f>'DEPT-Bursary'!K13</f>
        <v/>
      </c>
      <c r="N29" s="26" t="s">
        <v>70</v>
      </c>
    </row>
    <row r="30" spans="8:8" ht="15.0">
      <c r="A30" s="20">
        <v>17.0</v>
      </c>
      <c r="B30" s="21" t="s">
        <v>90</v>
      </c>
      <c r="C30" s="20" t="s">
        <v>53</v>
      </c>
      <c r="D30" s="21" t="s">
        <v>72</v>
      </c>
      <c r="E30" s="22" t="str">
        <f>'DEPT-Library'!C7</f>
        <v>[Enter name]</v>
      </c>
      <c r="F30" s="23" t="str">
        <f>'DEPT-Library'!C11</f>
        <v>Medium</v>
      </c>
      <c r="G30" s="24">
        <f>'DEPT-Library'!K5</f>
        <v>46391.0</v>
      </c>
      <c r="H30" s="23">
        <f>'DEPT-Library'!K7</f>
        <v>24.0</v>
      </c>
      <c r="I30" s="23">
        <f>'DEPT-Library'!K8</f>
        <v>0.0</v>
      </c>
      <c r="J30" s="23">
        <f>'DEPT-Library'!K9</f>
        <v>0.0</v>
      </c>
      <c r="K30" s="23">
        <f>'DEPT-Library'!K10</f>
        <v>0.0</v>
      </c>
      <c r="L30" s="23">
        <f>'DEPT-Library'!K11</f>
        <v>0.0</v>
      </c>
      <c r="M30" s="25" t="str">
        <f>'DEPT-Library'!K13</f>
        <v/>
      </c>
      <c r="N30" s="26" t="s">
        <v>70</v>
      </c>
    </row>
    <row r="31" spans="8:8" ht="15.0">
      <c r="A31" s="20">
        <v>18.0</v>
      </c>
      <c r="B31" s="21" t="s">
        <v>91</v>
      </c>
      <c r="C31" s="20" t="s">
        <v>53</v>
      </c>
      <c r="D31" s="21" t="s">
        <v>85</v>
      </c>
      <c r="E31" s="22" t="str">
        <f>'DEPT-Legal Unit'!C7</f>
        <v>[Enter name]</v>
      </c>
      <c r="F31" s="23" t="str">
        <f>'DEPT-Legal Unit'!C11</f>
        <v>Medium</v>
      </c>
      <c r="G31" s="24">
        <f>'DEPT-Legal Unit'!K5</f>
        <v>46391.0</v>
      </c>
      <c r="H31" s="23">
        <f>'DEPT-Legal Unit'!K7</f>
        <v>25.0</v>
      </c>
      <c r="I31" s="23">
        <f>'DEPT-Legal Unit'!K8</f>
        <v>0.0</v>
      </c>
      <c r="J31" s="23">
        <f>'DEPT-Legal Unit'!K9</f>
        <v>0.0</v>
      </c>
      <c r="K31" s="23">
        <f>'DEPT-Legal Unit'!K10</f>
        <v>0.0</v>
      </c>
      <c r="L31" s="23">
        <f>'DEPT-Legal Unit'!K11</f>
        <v>0.0</v>
      </c>
      <c r="M31" s="25" t="str">
        <f>'DEPT-Legal Unit'!K13</f>
        <v/>
      </c>
      <c r="N31" s="26" t="s">
        <v>70</v>
      </c>
    </row>
    <row r="32" spans="8:8" ht="15.0">
      <c r="A32" s="20">
        <v>19.0</v>
      </c>
      <c r="B32" s="21" t="s">
        <v>92</v>
      </c>
      <c r="C32" s="20" t="s">
        <v>53</v>
      </c>
      <c r="D32" s="21" t="s">
        <v>72</v>
      </c>
      <c r="E32" s="22" t="str">
        <f>'DEPT-Info &amp; PR'!C7</f>
        <v>[Enter name]</v>
      </c>
      <c r="F32" s="23" t="str">
        <f>'DEPT-Info &amp; PR'!C11</f>
        <v>Medium</v>
      </c>
      <c r="G32" s="24">
        <f>'DEPT-Info &amp; PR'!K5</f>
        <v>46391.0</v>
      </c>
      <c r="H32" s="23">
        <f>'DEPT-Info &amp; PR'!K7</f>
        <v>24.0</v>
      </c>
      <c r="I32" s="23">
        <f>'DEPT-Info &amp; PR'!K8</f>
        <v>0.0</v>
      </c>
      <c r="J32" s="23">
        <f>'DEPT-Info &amp; PR'!K9</f>
        <v>0.0</v>
      </c>
      <c r="K32" s="23">
        <f>'DEPT-Info &amp; PR'!K10</f>
        <v>0.0</v>
      </c>
      <c r="L32" s="23">
        <f>'DEPT-Info &amp; PR'!K11</f>
        <v>0.0</v>
      </c>
      <c r="M32" s="25" t="str">
        <f>'DEPT-Info &amp; PR'!K13</f>
        <v/>
      </c>
      <c r="N32" s="26" t="s">
        <v>70</v>
      </c>
    </row>
    <row r="33" spans="8:8" ht="15.0">
      <c r="A33" s="20">
        <v>20.0</v>
      </c>
      <c r="B33" s="21" t="s">
        <v>93</v>
      </c>
      <c r="C33" s="20" t="s">
        <v>53</v>
      </c>
      <c r="D33" s="21" t="s">
        <v>72</v>
      </c>
      <c r="E33" s="22" t="str">
        <f>'DEPT-Procurement'!C7</f>
        <v>[Enter name]</v>
      </c>
      <c r="F33" s="23" t="str">
        <f>'DEPT-Procurement'!C11</f>
        <v>Medium</v>
      </c>
      <c r="G33" s="24">
        <f>'DEPT-Procurement'!K5</f>
        <v>46391.0</v>
      </c>
      <c r="H33" s="23">
        <f>'DEPT-Procurement'!K7</f>
        <v>23.0</v>
      </c>
      <c r="I33" s="23">
        <f>'DEPT-Procurement'!K8</f>
        <v>0.0</v>
      </c>
      <c r="J33" s="23">
        <f>'DEPT-Procurement'!K9</f>
        <v>0.0</v>
      </c>
      <c r="K33" s="23">
        <f>'DEPT-Procurement'!K10</f>
        <v>0.0</v>
      </c>
      <c r="L33" s="23">
        <f>'DEPT-Procurement'!K11</f>
        <v>0.0</v>
      </c>
      <c r="M33" s="25" t="str">
        <f>'DEPT-Procurement'!K13</f>
        <v/>
      </c>
      <c r="N33" s="26" t="s">
        <v>70</v>
      </c>
    </row>
    <row r="34" spans="8:8" ht="15.0">
      <c r="A34" s="20">
        <v>21.0</v>
      </c>
      <c r="B34" s="21" t="s">
        <v>94</v>
      </c>
      <c r="C34" s="20" t="s">
        <v>54</v>
      </c>
      <c r="D34" s="21" t="s">
        <v>82</v>
      </c>
      <c r="E34" s="22" t="str">
        <f>'FAC-Arts'!C7</f>
        <v>[Enter name]</v>
      </c>
      <c r="F34" s="23" t="str">
        <f>'FAC-Arts'!C11</f>
        <v>Medium</v>
      </c>
      <c r="G34" s="24">
        <f>'FAC-Arts'!K5</f>
        <v>46412.0</v>
      </c>
      <c r="H34" s="23">
        <f>'FAC-Arts'!K7</f>
        <v>23.0</v>
      </c>
      <c r="I34" s="23">
        <f>'FAC-Arts'!K8</f>
        <v>0.0</v>
      </c>
      <c r="J34" s="23">
        <f>'FAC-Arts'!K9</f>
        <v>0.0</v>
      </c>
      <c r="K34" s="23">
        <f>'FAC-Arts'!K10</f>
        <v>0.0</v>
      </c>
      <c r="L34" s="23">
        <f>'FAC-Arts'!K11</f>
        <v>0.0</v>
      </c>
      <c r="M34" s="25" t="str">
        <f>'FAC-Arts'!K13</f>
        <v/>
      </c>
      <c r="N34" s="26" t="s">
        <v>70</v>
      </c>
    </row>
    <row r="35" spans="8:8" ht="15.0">
      <c r="A35" s="20">
        <v>22.0</v>
      </c>
      <c r="B35" s="21" t="s">
        <v>95</v>
      </c>
      <c r="C35" s="20" t="s">
        <v>54</v>
      </c>
      <c r="D35" s="21" t="s">
        <v>82</v>
      </c>
      <c r="E35" s="22" t="str">
        <f>'FAC-Education'!C7</f>
        <v>[Enter name]</v>
      </c>
      <c r="F35" s="23" t="str">
        <f>'FAC-Education'!C11</f>
        <v>High</v>
      </c>
      <c r="G35" s="24">
        <f>'FAC-Education'!K5</f>
        <v>46412.0</v>
      </c>
      <c r="H35" s="23">
        <f>'FAC-Education'!K7</f>
        <v>24.0</v>
      </c>
      <c r="I35" s="23">
        <f>'FAC-Education'!K8</f>
        <v>0.0</v>
      </c>
      <c r="J35" s="23">
        <f>'FAC-Education'!K9</f>
        <v>0.0</v>
      </c>
      <c r="K35" s="23">
        <f>'FAC-Education'!K10</f>
        <v>0.0</v>
      </c>
      <c r="L35" s="23">
        <f>'FAC-Education'!K11</f>
        <v>0.0</v>
      </c>
      <c r="M35" s="25" t="str">
        <f>'FAC-Education'!K13</f>
        <v/>
      </c>
      <c r="N35" s="26" t="s">
        <v>70</v>
      </c>
    </row>
    <row r="36" spans="8:8" ht="15.0">
      <c r="A36" s="20">
        <v>23.0</v>
      </c>
      <c r="B36" s="21" t="s">
        <v>96</v>
      </c>
      <c r="C36" s="20" t="s">
        <v>54</v>
      </c>
      <c r="D36" s="21" t="s">
        <v>82</v>
      </c>
      <c r="E36" s="22" t="str">
        <f>'FAC-Engineering'!C7</f>
        <v>[Enter name]</v>
      </c>
      <c r="F36" s="23" t="str">
        <f>'FAC-Engineering'!C11</f>
        <v>Medium</v>
      </c>
      <c r="G36" s="24">
        <f>'FAC-Engineering'!K5</f>
        <v>46412.0</v>
      </c>
      <c r="H36" s="23">
        <f>'FAC-Engineering'!K7</f>
        <v>23.0</v>
      </c>
      <c r="I36" s="23">
        <f>'FAC-Engineering'!K8</f>
        <v>0.0</v>
      </c>
      <c r="J36" s="23">
        <f>'FAC-Engineering'!K9</f>
        <v>0.0</v>
      </c>
      <c r="K36" s="23">
        <f>'FAC-Engineering'!K10</f>
        <v>0.0</v>
      </c>
      <c r="L36" s="23">
        <f>'FAC-Engineering'!K11</f>
        <v>0.0</v>
      </c>
      <c r="M36" s="25" t="str">
        <f>'FAC-Engineering'!K13</f>
        <v/>
      </c>
      <c r="N36" s="26" t="s">
        <v>70</v>
      </c>
    </row>
    <row r="37" spans="8:8" ht="15.0">
      <c r="A37" s="20">
        <v>24.0</v>
      </c>
      <c r="B37" s="21" t="s">
        <v>97</v>
      </c>
      <c r="C37" s="20" t="s">
        <v>54</v>
      </c>
      <c r="D37" s="21" t="s">
        <v>82</v>
      </c>
      <c r="E37" s="22" t="str">
        <f>'FAC-Law'!C7</f>
        <v>[Enter name]</v>
      </c>
      <c r="F37" s="23" t="str">
        <f>'FAC-Law'!C11</f>
        <v>High</v>
      </c>
      <c r="G37" s="24">
        <f>'FAC-Law'!K5</f>
        <v>46412.0</v>
      </c>
      <c r="H37" s="23">
        <f>'FAC-Law'!K7</f>
        <v>24.0</v>
      </c>
      <c r="I37" s="23">
        <f>'FAC-Law'!K8</f>
        <v>0.0</v>
      </c>
      <c r="J37" s="23">
        <f>'FAC-Law'!K9</f>
        <v>0.0</v>
      </c>
      <c r="K37" s="23">
        <f>'FAC-Law'!K10</f>
        <v>0.0</v>
      </c>
      <c r="L37" s="23">
        <f>'FAC-Law'!K11</f>
        <v>0.0</v>
      </c>
      <c r="M37" s="25" t="str">
        <f>'FAC-Law'!K13</f>
        <v/>
      </c>
      <c r="N37" s="26" t="s">
        <v>70</v>
      </c>
    </row>
    <row r="38" spans="8:8" ht="15.0">
      <c r="A38" s="20">
        <v>25.0</v>
      </c>
      <c r="B38" s="21" t="s">
        <v>98</v>
      </c>
      <c r="C38" s="20" t="s">
        <v>54</v>
      </c>
      <c r="D38" s="21" t="s">
        <v>82</v>
      </c>
      <c r="E38" s="22" t="str">
        <f>'FAC-Management Sciences'!C7</f>
        <v>[Enter name]</v>
      </c>
      <c r="F38" s="23" t="str">
        <f>'FAC-Management Sciences'!C11</f>
        <v>Medium</v>
      </c>
      <c r="G38" s="24">
        <f>'FAC-Management Sciences'!K5</f>
        <v>46412.0</v>
      </c>
      <c r="H38" s="23">
        <f>'FAC-Management Sciences'!K7</f>
        <v>23.0</v>
      </c>
      <c r="I38" s="23">
        <f>'FAC-Management Sciences'!K8</f>
        <v>0.0</v>
      </c>
      <c r="J38" s="23">
        <f>'FAC-Management Sciences'!K9</f>
        <v>0.0</v>
      </c>
      <c r="K38" s="23">
        <f>'FAC-Management Sciences'!K10</f>
        <v>0.0</v>
      </c>
      <c r="L38" s="23">
        <f>'FAC-Management Sciences'!K11</f>
        <v>0.0</v>
      </c>
      <c r="M38" s="25" t="str">
        <f>'FAC-Management Sciences'!K13</f>
        <v/>
      </c>
      <c r="N38" s="26" t="s">
        <v>70</v>
      </c>
    </row>
    <row r="39" spans="8:8" ht="15.0">
      <c r="A39" s="20">
        <v>26.0</v>
      </c>
      <c r="B39" s="21" t="s">
        <v>99</v>
      </c>
      <c r="C39" s="20" t="s">
        <v>54</v>
      </c>
      <c r="D39" s="21" t="s">
        <v>82</v>
      </c>
      <c r="E39" s="22" t="str">
        <f>'FAC-Science'!C7</f>
        <v>[Enter name]</v>
      </c>
      <c r="F39" s="23" t="str">
        <f>'FAC-Science'!C11</f>
        <v>Medium</v>
      </c>
      <c r="G39" s="24">
        <f>'FAC-Science'!K5</f>
        <v>46412.0</v>
      </c>
      <c r="H39" s="23">
        <f>'FAC-Science'!K7</f>
        <v>23.0</v>
      </c>
      <c r="I39" s="23">
        <f>'FAC-Science'!K8</f>
        <v>0.0</v>
      </c>
      <c r="J39" s="23">
        <f>'FAC-Science'!K9</f>
        <v>0.0</v>
      </c>
      <c r="K39" s="23">
        <f>'FAC-Science'!K10</f>
        <v>0.0</v>
      </c>
      <c r="L39" s="23">
        <f>'FAC-Science'!K11</f>
        <v>0.0</v>
      </c>
      <c r="M39" s="25" t="str">
        <f>'FAC-Science'!K13</f>
        <v/>
      </c>
      <c r="N39" s="26" t="s">
        <v>70</v>
      </c>
    </row>
    <row r="40" spans="8:8" ht="15.0">
      <c r="A40" s="20">
        <v>27.0</v>
      </c>
      <c r="B40" s="21" t="s">
        <v>100</v>
      </c>
      <c r="C40" s="20" t="s">
        <v>54</v>
      </c>
      <c r="D40" s="21" t="s">
        <v>82</v>
      </c>
      <c r="E40" s="22" t="str">
        <f>'FAC-Social Sciences'!C7</f>
        <v>[Enter name]</v>
      </c>
      <c r="F40" s="23" t="str">
        <f>'FAC-Social Sciences'!C11</f>
        <v>High</v>
      </c>
      <c r="G40" s="24">
        <f>'FAC-Social Sciences'!K5</f>
        <v>46412.0</v>
      </c>
      <c r="H40" s="23">
        <f>'FAC-Social Sciences'!K7</f>
        <v>24.0</v>
      </c>
      <c r="I40" s="23">
        <f>'FAC-Social Sciences'!K8</f>
        <v>0.0</v>
      </c>
      <c r="J40" s="23">
        <f>'FAC-Social Sciences'!K9</f>
        <v>0.0</v>
      </c>
      <c r="K40" s="23">
        <f>'FAC-Social Sciences'!K10</f>
        <v>0.0</v>
      </c>
      <c r="L40" s="23">
        <f>'FAC-Social Sciences'!K11</f>
        <v>0.0</v>
      </c>
      <c r="M40" s="25" t="str">
        <f>'FAC-Social Sciences'!K13</f>
        <v/>
      </c>
      <c r="N40" s="26" t="s">
        <v>70</v>
      </c>
    </row>
    <row r="41" spans="8:8" ht="15.0">
      <c r="A41" s="20">
        <v>28.0</v>
      </c>
      <c r="B41" s="21" t="s">
        <v>101</v>
      </c>
      <c r="C41" s="20" t="s">
        <v>54</v>
      </c>
      <c r="D41" s="21" t="s">
        <v>82</v>
      </c>
      <c r="E41" s="22" t="str">
        <f>'FAC-Agriculture'!C7</f>
        <v>[Enter name]</v>
      </c>
      <c r="F41" s="23" t="str">
        <f>'FAC-Agriculture'!C11</f>
        <v>Low</v>
      </c>
      <c r="G41" s="24">
        <f>'FAC-Agriculture'!K5</f>
        <v>46412.0</v>
      </c>
      <c r="H41" s="23">
        <f>'FAC-Agriculture'!K7</f>
        <v>23.0</v>
      </c>
      <c r="I41" s="23">
        <f>'FAC-Agriculture'!K8</f>
        <v>0.0</v>
      </c>
      <c r="J41" s="23">
        <f>'FAC-Agriculture'!K9</f>
        <v>0.0</v>
      </c>
      <c r="K41" s="23">
        <f>'FAC-Agriculture'!K10</f>
        <v>0.0</v>
      </c>
      <c r="L41" s="23">
        <f>'FAC-Agriculture'!K11</f>
        <v>0.0</v>
      </c>
      <c r="M41" s="25" t="str">
        <f>'FAC-Agriculture'!K13</f>
        <v/>
      </c>
      <c r="N41" s="26" t="s">
        <v>70</v>
      </c>
    </row>
    <row r="42" spans="8:8" ht="15.0">
      <c r="A42" s="20">
        <v>29.0</v>
      </c>
      <c r="B42" s="21" t="s">
        <v>102</v>
      </c>
      <c r="C42" s="20" t="s">
        <v>54</v>
      </c>
      <c r="D42" s="21" t="s">
        <v>82</v>
      </c>
      <c r="E42" s="22" t="str">
        <f>'FAC-Environmental Sci'!C7</f>
        <v>[Enter name]</v>
      </c>
      <c r="F42" s="23" t="str">
        <f>'FAC-Environmental Sci'!C11</f>
        <v>Medium</v>
      </c>
      <c r="G42" s="24">
        <f>'FAC-Environmental Sci'!K5</f>
        <v>46412.0</v>
      </c>
      <c r="H42" s="23">
        <f>'FAC-Environmental Sci'!K7</f>
        <v>23.0</v>
      </c>
      <c r="I42" s="23">
        <f>'FAC-Environmental Sci'!K8</f>
        <v>0.0</v>
      </c>
      <c r="J42" s="23">
        <f>'FAC-Environmental Sci'!K9</f>
        <v>0.0</v>
      </c>
      <c r="K42" s="23">
        <f>'FAC-Environmental Sci'!K10</f>
        <v>0.0</v>
      </c>
      <c r="L42" s="23">
        <f>'FAC-Environmental Sci'!K11</f>
        <v>0.0</v>
      </c>
      <c r="M42" s="25" t="str">
        <f>'FAC-Environmental Sci'!K13</f>
        <v/>
      </c>
      <c r="N42" s="26" t="s">
        <v>70</v>
      </c>
    </row>
    <row r="43" spans="8:8" ht="15.0">
      <c r="A43" s="20">
        <v>30.0</v>
      </c>
      <c r="B43" s="21" t="s">
        <v>103</v>
      </c>
      <c r="C43" s="20" t="s">
        <v>54</v>
      </c>
      <c r="D43" s="21" t="s">
        <v>82</v>
      </c>
      <c r="E43" s="22" t="str">
        <f>'FAC-Pharmaceutical Sci'!C7</f>
        <v>[Enter name]</v>
      </c>
      <c r="F43" s="23" t="str">
        <f>'FAC-Pharmaceutical Sci'!C11</f>
        <v>High</v>
      </c>
      <c r="G43" s="24">
        <f>'FAC-Pharmaceutical Sci'!K5</f>
        <v>46412.0</v>
      </c>
      <c r="H43" s="23">
        <f>'FAC-Pharmaceutical Sci'!K7</f>
        <v>23.0</v>
      </c>
      <c r="I43" s="23">
        <f>'FAC-Pharmaceutical Sci'!K8</f>
        <v>0.0</v>
      </c>
      <c r="J43" s="23">
        <f>'FAC-Pharmaceutical Sci'!K9</f>
        <v>0.0</v>
      </c>
      <c r="K43" s="23">
        <f>'FAC-Pharmaceutical Sci'!K10</f>
        <v>0.0</v>
      </c>
      <c r="L43" s="23">
        <f>'FAC-Pharmaceutical Sci'!K11</f>
        <v>0.0</v>
      </c>
      <c r="M43" s="25" t="str">
        <f>'FAC-Pharmaceutical Sci'!K13</f>
        <v/>
      </c>
      <c r="N43" s="26" t="s">
        <v>70</v>
      </c>
    </row>
    <row r="44" spans="8:8" ht="15.0">
      <c r="A44" s="20">
        <v>31.0</v>
      </c>
      <c r="B44" s="21" t="s">
        <v>104</v>
      </c>
      <c r="C44" s="20" t="s">
        <v>54</v>
      </c>
      <c r="D44" s="21" t="s">
        <v>105</v>
      </c>
      <c r="E44" s="22" t="str">
        <f>'FAC-Basic Medical Sci'!C7</f>
        <v>[Enter name]</v>
      </c>
      <c r="F44" s="23" t="str">
        <f>'FAC-Basic Medical Sci'!C11</f>
        <v>High</v>
      </c>
      <c r="G44" s="24">
        <f>'FAC-Basic Medical Sci'!K5</f>
        <v>46412.0</v>
      </c>
      <c r="H44" s="23">
        <f>'FAC-Basic Medical Sci'!K7</f>
        <v>24.0</v>
      </c>
      <c r="I44" s="23">
        <f>'FAC-Basic Medical Sci'!K8</f>
        <v>0.0</v>
      </c>
      <c r="J44" s="23">
        <f>'FAC-Basic Medical Sci'!K9</f>
        <v>0.0</v>
      </c>
      <c r="K44" s="23">
        <f>'FAC-Basic Medical Sci'!K10</f>
        <v>0.0</v>
      </c>
      <c r="L44" s="23">
        <f>'FAC-Basic Medical Sci'!K11</f>
        <v>0.0</v>
      </c>
      <c r="M44" s="25" t="str">
        <f>'FAC-Basic Medical Sci'!K13</f>
        <v/>
      </c>
      <c r="N44" s="26" t="s">
        <v>70</v>
      </c>
    </row>
    <row r="45" spans="8:8" ht="15.0">
      <c r="A45" s="20">
        <v>32.0</v>
      </c>
      <c r="B45" s="21" t="s">
        <v>106</v>
      </c>
      <c r="C45" s="20" t="s">
        <v>54</v>
      </c>
      <c r="D45" s="21" t="s">
        <v>105</v>
      </c>
      <c r="E45" s="22" t="str">
        <f>'FAC-Clinical Sci'!C7</f>
        <v>[Enter name]</v>
      </c>
      <c r="F45" s="23" t="str">
        <f>'FAC-Clinical Sci'!C11</f>
        <v>High</v>
      </c>
      <c r="G45" s="24">
        <f>'FAC-Clinical Sci'!K5</f>
        <v>46412.0</v>
      </c>
      <c r="H45" s="23">
        <f>'FAC-Clinical Sci'!K7</f>
        <v>25.0</v>
      </c>
      <c r="I45" s="23">
        <f>'FAC-Clinical Sci'!K8</f>
        <v>0.0</v>
      </c>
      <c r="J45" s="23">
        <f>'FAC-Clinical Sci'!K9</f>
        <v>0.0</v>
      </c>
      <c r="K45" s="23">
        <f>'FAC-Clinical Sci'!K10</f>
        <v>0.0</v>
      </c>
      <c r="L45" s="23">
        <f>'FAC-Clinical Sci'!K11</f>
        <v>0.0</v>
      </c>
      <c r="M45" s="25" t="str">
        <f>'FAC-Clinical Sci'!K13</f>
        <v/>
      </c>
      <c r="N45" s="26" t="s">
        <v>70</v>
      </c>
    </row>
    <row r="46" spans="8:8" ht="15.0">
      <c r="A46" s="20">
        <v>33.0</v>
      </c>
      <c r="B46" s="21" t="s">
        <v>107</v>
      </c>
      <c r="C46" s="20" t="s">
        <v>54</v>
      </c>
      <c r="D46" s="21" t="s">
        <v>82</v>
      </c>
      <c r="E46" s="22" t="str">
        <f>'FAC-Computing'!C7</f>
        <v>[Enter name]</v>
      </c>
      <c r="F46" s="23" t="str">
        <f>'FAC-Computing'!C11</f>
        <v>Medium</v>
      </c>
      <c r="G46" s="24">
        <f>'FAC-Computing'!K5</f>
        <v>46412.0</v>
      </c>
      <c r="H46" s="23">
        <f>'FAC-Computing'!K7</f>
        <v>24.0</v>
      </c>
      <c r="I46" s="23">
        <f>'FAC-Computing'!K8</f>
        <v>0.0</v>
      </c>
      <c r="J46" s="23">
        <f>'FAC-Computing'!K9</f>
        <v>0.0</v>
      </c>
      <c r="K46" s="23">
        <f>'FAC-Computing'!K10</f>
        <v>0.0</v>
      </c>
      <c r="L46" s="23">
        <f>'FAC-Computing'!K11</f>
        <v>0.0</v>
      </c>
      <c r="M46" s="25" t="str">
        <f>'FAC-Computing'!K13</f>
        <v/>
      </c>
      <c r="N46" s="26" t="s">
        <v>70</v>
      </c>
    </row>
    <row r="47" spans="8:8" ht="15.0">
      <c r="A47" s="20">
        <v>34.0</v>
      </c>
      <c r="B47" s="21" t="s">
        <v>108</v>
      </c>
      <c r="C47" s="20" t="s">
        <v>55</v>
      </c>
      <c r="D47" s="21" t="s">
        <v>82</v>
      </c>
      <c r="E47" s="22" t="str">
        <f>'SCH-Postgraduate'!C7</f>
        <v>[Enter name]</v>
      </c>
      <c r="F47" s="23" t="str">
        <f>'SCH-Postgraduate'!C11</f>
        <v>High</v>
      </c>
      <c r="G47" s="24">
        <f>'SCH-Postgraduate'!K5</f>
        <v>46433.0</v>
      </c>
      <c r="H47" s="23">
        <f>'SCH-Postgraduate'!K7</f>
        <v>25.0</v>
      </c>
      <c r="I47" s="23">
        <f>'SCH-Postgraduate'!K8</f>
        <v>0.0</v>
      </c>
      <c r="J47" s="23">
        <f>'SCH-Postgraduate'!K9</f>
        <v>0.0</v>
      </c>
      <c r="K47" s="23">
        <f>'SCH-Postgraduate'!K10</f>
        <v>0.0</v>
      </c>
      <c r="L47" s="23">
        <f>'SCH-Postgraduate'!K11</f>
        <v>0.0</v>
      </c>
      <c r="M47" s="25" t="str">
        <f>'SCH-Postgraduate'!K13</f>
        <v/>
      </c>
      <c r="N47" s="26" t="s">
        <v>70</v>
      </c>
    </row>
    <row r="48" spans="8:8" ht="15.0">
      <c r="A48" s="20">
        <v>35.0</v>
      </c>
      <c r="B48" s="21" t="s">
        <v>109</v>
      </c>
      <c r="C48" s="20" t="s">
        <v>55</v>
      </c>
      <c r="D48" s="21" t="s">
        <v>82</v>
      </c>
      <c r="E48" s="22" t="str">
        <f>'SCH-General Studies'!C7</f>
        <v>[Enter name]</v>
      </c>
      <c r="F48" s="23" t="str">
        <f>'SCH-General Studies'!C11</f>
        <v>Medium</v>
      </c>
      <c r="G48" s="24">
        <f>'SCH-General Studies'!K5</f>
        <v>46433.0</v>
      </c>
      <c r="H48" s="23">
        <f>'SCH-General Studies'!K7</f>
        <v>23.0</v>
      </c>
      <c r="I48" s="23">
        <f>'SCH-General Studies'!K8</f>
        <v>0.0</v>
      </c>
      <c r="J48" s="23">
        <f>'SCH-General Studies'!K9</f>
        <v>0.0</v>
      </c>
      <c r="K48" s="23">
        <f>'SCH-General Studies'!K10</f>
        <v>0.0</v>
      </c>
      <c r="L48" s="23">
        <f>'SCH-General Studies'!K11</f>
        <v>0.0</v>
      </c>
      <c r="M48" s="25" t="str">
        <f>'SCH-General Studies'!K13</f>
        <v/>
      </c>
      <c r="N48" s="26" t="s">
        <v>70</v>
      </c>
    </row>
    <row r="49" spans="8:8" ht="23.85">
      <c r="A49" s="20">
        <v>36.0</v>
      </c>
      <c r="B49" s="21" t="s">
        <v>110</v>
      </c>
      <c r="C49" s="20" t="s">
        <v>55</v>
      </c>
      <c r="D49" s="21" t="s">
        <v>82</v>
      </c>
      <c r="E49" s="22" t="str">
        <f>'SCH-Distance Learning'!C7</f>
        <v>[Enter name]</v>
      </c>
      <c r="F49" s="23" t="str">
        <f>'SCH-Distance Learning'!C11</f>
        <v>High</v>
      </c>
      <c r="G49" s="24">
        <f>'SCH-Distance Learning'!K5</f>
        <v>46433.0</v>
      </c>
      <c r="H49" s="23">
        <f>'SCH-Distance Learning'!K7</f>
        <v>25.0</v>
      </c>
      <c r="I49" s="23">
        <f>'SCH-Distance Learning'!K8</f>
        <v>0.0</v>
      </c>
      <c r="J49" s="23">
        <f>'SCH-Distance Learning'!K9</f>
        <v>0.0</v>
      </c>
      <c r="K49" s="23">
        <f>'SCH-Distance Learning'!K10</f>
        <v>0.0</v>
      </c>
      <c r="L49" s="23">
        <f>'SCH-Distance Learning'!K11</f>
        <v>0.0</v>
      </c>
      <c r="M49" s="25" t="str">
        <f>'SCH-Distance Learning'!K13</f>
        <v/>
      </c>
      <c r="N49" s="26" t="s">
        <v>70</v>
      </c>
    </row>
    <row r="50" spans="8:8" ht="15.0">
      <c r="A50" s="20">
        <v>37.0</v>
      </c>
      <c r="B50" s="21" t="s">
        <v>111</v>
      </c>
      <c r="C50" s="20" t="s">
        <v>55</v>
      </c>
      <c r="D50" s="21" t="s">
        <v>82</v>
      </c>
      <c r="E50" s="22" t="str">
        <f>'SCH-Basic Studies'!C7</f>
        <v>[Enter name]</v>
      </c>
      <c r="F50" s="23" t="str">
        <f>'SCH-Basic Studies'!C11</f>
        <v>High</v>
      </c>
      <c r="G50" s="24">
        <f>'SCH-Basic Studies'!K5</f>
        <v>46433.0</v>
      </c>
      <c r="H50" s="23">
        <f>'SCH-Basic Studies'!K7</f>
        <v>24.0</v>
      </c>
      <c r="I50" s="23">
        <f>'SCH-Basic Studies'!K8</f>
        <v>0.0</v>
      </c>
      <c r="J50" s="23">
        <f>'SCH-Basic Studies'!K9</f>
        <v>0.0</v>
      </c>
      <c r="K50" s="23">
        <f>'SCH-Basic Studies'!K10</f>
        <v>0.0</v>
      </c>
      <c r="L50" s="23">
        <f>'SCH-Basic Studies'!K11</f>
        <v>0.0</v>
      </c>
      <c r="M50" s="25" t="str">
        <f>'SCH-Basic Studies'!K13</f>
        <v/>
      </c>
      <c r="N50" s="26" t="s">
        <v>70</v>
      </c>
    </row>
    <row r="51" spans="8:8" ht="15.0">
      <c r="A51" s="20">
        <v>38.0</v>
      </c>
      <c r="B51" s="21" t="s">
        <v>112</v>
      </c>
      <c r="C51" s="20" t="s">
        <v>55</v>
      </c>
      <c r="D51" s="21" t="s">
        <v>85</v>
      </c>
      <c r="E51" s="22" t="str">
        <f>'SCH-Staff School'!C7</f>
        <v>[Enter name]</v>
      </c>
      <c r="F51" s="23" t="str">
        <f>'SCH-Staff School'!C11</f>
        <v>High</v>
      </c>
      <c r="G51" s="24">
        <f>'SCH-Staff School'!K5</f>
        <v>46433.0</v>
      </c>
      <c r="H51" s="23">
        <f>'SCH-Staff School'!K7</f>
        <v>25.0</v>
      </c>
      <c r="I51" s="23">
        <f>'SCH-Staff School'!K8</f>
        <v>0.0</v>
      </c>
      <c r="J51" s="23">
        <f>'SCH-Staff School'!K9</f>
        <v>0.0</v>
      </c>
      <c r="K51" s="23">
        <f>'SCH-Staff School'!K10</f>
        <v>0.0</v>
      </c>
      <c r="L51" s="23">
        <f>'SCH-Staff School'!K11</f>
        <v>0.0</v>
      </c>
      <c r="M51" s="25" t="str">
        <f>'SCH-Staff School'!K13</f>
        <v/>
      </c>
      <c r="N51" s="26" t="s">
        <v>70</v>
      </c>
    </row>
    <row r="53" spans="8:8" ht="15.0">
      <c r="A53" s="27" t="s">
        <v>113</v>
      </c>
    </row>
  </sheetData>
  <conditionalFormatting sqref="M14:M51">
    <cfRule type="expression" priority="3" dxfId="0">
      <formula>AND(ISNUMBER(M14),M14&gt;=0.5,M14&lt;0.8)</formula>
    </cfRule>
    <cfRule type="expression" priority="2" dxfId="1">
      <formula>AND(ISNUMBER(M14),M14&lt;0.5)</formula>
    </cfRule>
    <cfRule type="expression" priority="4" dxfId="2">
      <formula>AND(ISNUMBER(M14),M14&gt;=0.8)</formula>
    </cfRule>
  </conditionalFormatting>
  <hyperlinks>
    <hyperlink ref="N14" r:id="rId1"/>
    <hyperlink ref="N15" r:id="rId2"/>
    <hyperlink ref="N16" r:id="rId3"/>
    <hyperlink ref="N17" r:id="rId4"/>
    <hyperlink ref="N18" r:id="rId5"/>
    <hyperlink ref="N19" r:id="rId6"/>
    <hyperlink ref="N20" r:id="rId7"/>
    <hyperlink ref="N21" r:id="rId8"/>
    <hyperlink ref="N22" r:id="rId9"/>
    <hyperlink ref="N23" r:id="rId10"/>
    <hyperlink ref="N24" r:id="rId11"/>
    <hyperlink ref="N25" r:id="rId12"/>
    <hyperlink ref="N26" r:id="rId13"/>
    <hyperlink ref="N27" r:id="rId14"/>
    <hyperlink ref="N28" r:id="rId15"/>
    <hyperlink ref="N29" r:id="rId16"/>
    <hyperlink ref="N30" r:id="rId17"/>
    <hyperlink ref="N31" r:id="rId18"/>
    <hyperlink ref="N32" r:id="rId19"/>
    <hyperlink ref="N33" r:id="rId20"/>
    <hyperlink ref="N34" r:id="rId21"/>
    <hyperlink ref="N35" r:id="rId22"/>
    <hyperlink ref="N36" r:id="rId23"/>
    <hyperlink ref="N37" r:id="rId24"/>
    <hyperlink ref="N38" r:id="rId25"/>
    <hyperlink ref="N39" r:id="rId26"/>
    <hyperlink ref="N40" r:id="rId27"/>
    <hyperlink ref="N41" r:id="rId28"/>
    <hyperlink ref="N42" r:id="rId29"/>
    <hyperlink ref="N43" r:id="rId30"/>
    <hyperlink ref="N44" r:id="rId31"/>
    <hyperlink ref="N45" r:id="rId32"/>
    <hyperlink ref="N46" r:id="rId33"/>
    <hyperlink ref="N47" r:id="rId34"/>
    <hyperlink ref="N48" r:id="rId35"/>
    <hyperlink ref="N49" r:id="rId36"/>
    <hyperlink ref="N50" r:id="rId37"/>
    <hyperlink ref="N51" r:id="rId38"/>
  </hyperlinks>
  <pageMargins left="0.75" right="0.75" top="1.0" bottom="1.0" header="0.511811023622047" footer="0.511811023622047"/>
  <pageSetup paperSize="9"/>
</worksheet>
</file>

<file path=xl/worksheets/sheet3.xml><?xml version="1.0" encoding="utf-8"?>
<worksheet xmlns:r="http://schemas.openxmlformats.org/officeDocument/2006/relationships" xmlns="http://schemas.openxmlformats.org/spreadsheetml/2006/main">
  <dimension ref="A1:H26"/>
  <sheetViews>
    <sheetView workbookViewId="0" showGridLines="0">
      <pane xSplit="2" ySplit="4" topLeftCell="E5" state="frozen" activePane="bottomRight"/>
      <selection pane="bottomRight" activeCell="A1" sqref="A1"/>
    </sheetView>
  </sheetViews>
  <sheetFormatPr defaultRowHeight="15.0" zeroHeight="1"/>
  <cols>
    <col min="1" max="1" customWidth="1" width="6.0" style="0"/>
    <col min="2" max="2" customWidth="1" width="24.0" style="0"/>
    <col min="3" max="3" customWidth="1" width="26.0" style="0"/>
    <col min="4" max="4" customWidth="1" width="45.0" style="0"/>
    <col min="5" max="5" customWidth="1" width="55.0" style="0"/>
    <col min="6" max="6" customWidth="1" width="32.0" style="0"/>
    <col min="7" max="7" customWidth="1" width="11.0" style="0"/>
  </cols>
  <sheetData>
    <row r="1" spans="8:8" ht="17.35">
      <c r="A1" s="28" t="s">
        <v>114</v>
      </c>
    </row>
    <row r="2" spans="8:8" ht="15.0">
      <c r="A2" s="29" t="s">
        <v>115</v>
      </c>
    </row>
    <row r="4" spans="8:8" ht="15.0">
      <c r="A4" s="13" t="s">
        <v>116</v>
      </c>
      <c r="B4" s="13" t="s">
        <v>27</v>
      </c>
      <c r="C4" s="13" t="s">
        <v>117</v>
      </c>
      <c r="D4" s="13" t="s">
        <v>118</v>
      </c>
      <c r="E4" s="13" t="s">
        <v>119</v>
      </c>
      <c r="F4" s="13" t="s">
        <v>120</v>
      </c>
      <c r="G4" s="13" t="s">
        <v>121</v>
      </c>
    </row>
    <row r="5" spans="8:8" ht="35.05">
      <c r="A5" s="30">
        <v>1.0</v>
      </c>
      <c r="B5" s="30" t="s">
        <v>122</v>
      </c>
      <c r="C5" s="30" t="s">
        <v>123</v>
      </c>
      <c r="D5" s="30" t="s">
        <v>124</v>
      </c>
      <c r="E5" s="30" t="s">
        <v>125</v>
      </c>
      <c r="F5" s="30" t="s">
        <v>126</v>
      </c>
      <c r="G5" s="30" t="s">
        <v>30</v>
      </c>
    </row>
    <row r="6" spans="8:8" ht="23.85">
      <c r="A6" s="30">
        <v>2.0</v>
      </c>
      <c r="B6" s="30" t="s">
        <v>127</v>
      </c>
      <c r="C6" s="30" t="s">
        <v>128</v>
      </c>
      <c r="D6" s="30" t="s">
        <v>129</v>
      </c>
      <c r="E6" s="30" t="s">
        <v>130</v>
      </c>
      <c r="F6" s="30" t="s">
        <v>131</v>
      </c>
      <c r="G6" s="30" t="s">
        <v>30</v>
      </c>
    </row>
    <row r="7" spans="8:8" ht="35.05">
      <c r="A7" s="30">
        <v>3.0</v>
      </c>
      <c r="B7" s="30" t="s">
        <v>132</v>
      </c>
      <c r="C7" s="30" t="s">
        <v>133</v>
      </c>
      <c r="D7" s="30" t="s">
        <v>134</v>
      </c>
      <c r="E7" s="30" t="s">
        <v>135</v>
      </c>
      <c r="F7" s="30" t="s">
        <v>136</v>
      </c>
      <c r="G7" s="30" t="s">
        <v>30</v>
      </c>
    </row>
    <row r="8" spans="8:8" ht="46.25">
      <c r="A8" s="30">
        <v>4.0</v>
      </c>
      <c r="B8" s="30" t="s">
        <v>28</v>
      </c>
      <c r="C8" s="30" t="s">
        <v>137</v>
      </c>
      <c r="D8" s="30" t="s">
        <v>138</v>
      </c>
      <c r="E8" s="30" t="s">
        <v>139</v>
      </c>
      <c r="F8" s="30" t="s">
        <v>140</v>
      </c>
      <c r="G8" s="30" t="s">
        <v>30</v>
      </c>
    </row>
    <row r="9" spans="8:8" ht="23.85">
      <c r="A9" s="30">
        <v>5.0</v>
      </c>
      <c r="B9" s="30" t="s">
        <v>141</v>
      </c>
      <c r="C9" s="30" t="s">
        <v>142</v>
      </c>
      <c r="D9" s="30" t="s">
        <v>143</v>
      </c>
      <c r="E9" s="30" t="s">
        <v>144</v>
      </c>
      <c r="F9" s="30" t="s">
        <v>145</v>
      </c>
      <c r="G9" s="30" t="s">
        <v>146</v>
      </c>
    </row>
    <row r="10" spans="8:8" ht="23.85">
      <c r="A10" s="30">
        <v>6.0</v>
      </c>
      <c r="B10" s="30" t="s">
        <v>147</v>
      </c>
      <c r="C10" s="30" t="s">
        <v>148</v>
      </c>
      <c r="D10" s="30" t="s">
        <v>149</v>
      </c>
      <c r="E10" s="30" t="s">
        <v>150</v>
      </c>
      <c r="F10" s="30" t="s">
        <v>151</v>
      </c>
      <c r="G10" s="30" t="s">
        <v>146</v>
      </c>
    </row>
    <row r="11" spans="8:8" ht="35.05">
      <c r="A11" s="30">
        <v>7.0</v>
      </c>
      <c r="B11" s="30" t="s">
        <v>152</v>
      </c>
      <c r="C11" s="30" t="s">
        <v>153</v>
      </c>
      <c r="D11" s="30" t="s">
        <v>154</v>
      </c>
      <c r="E11" s="30" t="s">
        <v>155</v>
      </c>
      <c r="F11" s="30" t="s">
        <v>156</v>
      </c>
      <c r="G11" s="30" t="s">
        <v>146</v>
      </c>
    </row>
    <row r="12" spans="8:8" ht="23.85">
      <c r="A12" s="30">
        <v>8.0</v>
      </c>
      <c r="B12" s="30" t="s">
        <v>157</v>
      </c>
      <c r="C12" s="30" t="s">
        <v>158</v>
      </c>
      <c r="D12" s="30" t="s">
        <v>159</v>
      </c>
      <c r="E12" s="30" t="s">
        <v>160</v>
      </c>
      <c r="F12" s="30" t="s">
        <v>161</v>
      </c>
      <c r="G12" s="30" t="s">
        <v>146</v>
      </c>
    </row>
    <row r="13" spans="8:8" ht="35.05">
      <c r="A13" s="30">
        <v>9.0</v>
      </c>
      <c r="B13" s="30" t="s">
        <v>162</v>
      </c>
      <c r="C13" s="30" t="s">
        <v>163</v>
      </c>
      <c r="D13" s="30" t="s">
        <v>164</v>
      </c>
      <c r="E13" s="30" t="s">
        <v>165</v>
      </c>
      <c r="F13" s="30" t="s">
        <v>166</v>
      </c>
      <c r="G13" s="30" t="s">
        <v>146</v>
      </c>
    </row>
    <row r="14" spans="8:8" ht="23.85">
      <c r="A14" s="30">
        <v>10.0</v>
      </c>
      <c r="B14" s="30" t="s">
        <v>167</v>
      </c>
      <c r="C14" s="30" t="s">
        <v>168</v>
      </c>
      <c r="D14" s="30" t="s">
        <v>169</v>
      </c>
      <c r="E14" s="30" t="s">
        <v>170</v>
      </c>
      <c r="F14" s="30" t="s">
        <v>171</v>
      </c>
      <c r="G14" s="30" t="s">
        <v>30</v>
      </c>
    </row>
    <row r="15" spans="8:8" ht="35.05">
      <c r="A15" s="30">
        <v>11.0</v>
      </c>
      <c r="B15" s="30" t="s">
        <v>172</v>
      </c>
      <c r="C15" s="30" t="s">
        <v>173</v>
      </c>
      <c r="D15" s="30" t="s">
        <v>174</v>
      </c>
      <c r="E15" s="30" t="s">
        <v>175</v>
      </c>
      <c r="F15" s="30" t="s">
        <v>176</v>
      </c>
      <c r="G15" s="30" t="s">
        <v>30</v>
      </c>
    </row>
    <row r="16" spans="8:8" ht="23.85">
      <c r="A16" s="30">
        <v>12.0</v>
      </c>
      <c r="B16" s="30" t="s">
        <v>177</v>
      </c>
      <c r="C16" s="30" t="s">
        <v>178</v>
      </c>
      <c r="D16" s="30" t="s">
        <v>179</v>
      </c>
      <c r="E16" s="30" t="s">
        <v>180</v>
      </c>
      <c r="F16" s="30" t="s">
        <v>181</v>
      </c>
      <c r="G16" s="30" t="s">
        <v>30</v>
      </c>
    </row>
    <row r="17" spans="8:8" ht="35.05">
      <c r="A17" s="30">
        <v>13.0</v>
      </c>
      <c r="B17" s="30" t="s">
        <v>182</v>
      </c>
      <c r="C17" s="30" t="s">
        <v>183</v>
      </c>
      <c r="D17" s="30" t="s">
        <v>184</v>
      </c>
      <c r="E17" s="30" t="s">
        <v>185</v>
      </c>
      <c r="F17" s="30" t="s">
        <v>186</v>
      </c>
      <c r="G17" s="30" t="s">
        <v>30</v>
      </c>
    </row>
    <row r="18" spans="8:8" ht="23.85">
      <c r="A18" s="30">
        <v>14.0</v>
      </c>
      <c r="B18" s="30" t="s">
        <v>187</v>
      </c>
      <c r="C18" s="30" t="s">
        <v>188</v>
      </c>
      <c r="D18" s="30" t="s">
        <v>189</v>
      </c>
      <c r="E18" s="30" t="s">
        <v>190</v>
      </c>
      <c r="F18" s="30" t="s">
        <v>191</v>
      </c>
      <c r="G18" s="30" t="s">
        <v>146</v>
      </c>
    </row>
    <row r="19" spans="8:8" ht="35.05">
      <c r="A19" s="30">
        <v>15.0</v>
      </c>
      <c r="B19" s="30" t="s">
        <v>192</v>
      </c>
      <c r="C19" s="30" t="s">
        <v>193</v>
      </c>
      <c r="D19" s="30" t="s">
        <v>194</v>
      </c>
      <c r="E19" s="30" t="s">
        <v>195</v>
      </c>
      <c r="F19" s="30" t="s">
        <v>196</v>
      </c>
      <c r="G19" s="30" t="s">
        <v>30</v>
      </c>
    </row>
    <row r="20" spans="8:8" ht="23.85">
      <c r="A20" s="30">
        <v>16.0</v>
      </c>
      <c r="B20" s="30" t="s">
        <v>197</v>
      </c>
      <c r="C20" s="30" t="s">
        <v>198</v>
      </c>
      <c r="D20" s="30" t="s">
        <v>199</v>
      </c>
      <c r="E20" s="30" t="s">
        <v>200</v>
      </c>
      <c r="F20" s="30" t="s">
        <v>201</v>
      </c>
      <c r="G20" s="30" t="s">
        <v>146</v>
      </c>
    </row>
    <row r="21" spans="8:8" ht="23.85">
      <c r="A21" s="30">
        <v>17.0</v>
      </c>
      <c r="B21" s="30" t="s">
        <v>202</v>
      </c>
      <c r="C21" s="30" t="s">
        <v>203</v>
      </c>
      <c r="D21" s="30" t="s">
        <v>204</v>
      </c>
      <c r="E21" s="30" t="s">
        <v>205</v>
      </c>
      <c r="F21" s="30" t="s">
        <v>206</v>
      </c>
      <c r="G21" s="30" t="s">
        <v>207</v>
      </c>
    </row>
    <row r="22" spans="8:8" ht="23.85">
      <c r="A22" s="30">
        <v>18.0</v>
      </c>
      <c r="B22" s="30" t="s">
        <v>208</v>
      </c>
      <c r="C22" s="30" t="s">
        <v>209</v>
      </c>
      <c r="D22" s="30" t="s">
        <v>210</v>
      </c>
      <c r="E22" s="30" t="s">
        <v>211</v>
      </c>
      <c r="F22" s="30" t="s">
        <v>212</v>
      </c>
      <c r="G22" s="30" t="s">
        <v>207</v>
      </c>
    </row>
    <row r="23" spans="8:8" ht="23.85">
      <c r="A23" s="30">
        <v>19.0</v>
      </c>
      <c r="B23" s="30" t="s">
        <v>213</v>
      </c>
      <c r="C23" s="30" t="s">
        <v>214</v>
      </c>
      <c r="D23" s="30" t="s">
        <v>215</v>
      </c>
      <c r="E23" s="30" t="s">
        <v>216</v>
      </c>
      <c r="F23" s="30" t="s">
        <v>217</v>
      </c>
      <c r="G23" s="30" t="s">
        <v>207</v>
      </c>
    </row>
    <row r="24" spans="8:8" ht="23.85">
      <c r="A24" s="30">
        <v>20.0</v>
      </c>
      <c r="B24" s="30" t="s">
        <v>218</v>
      </c>
      <c r="C24" s="30" t="s">
        <v>219</v>
      </c>
      <c r="D24" s="30" t="s">
        <v>220</v>
      </c>
      <c r="E24" s="30" t="s">
        <v>221</v>
      </c>
      <c r="F24" s="30" t="s">
        <v>222</v>
      </c>
      <c r="G24" s="30" t="s">
        <v>146</v>
      </c>
    </row>
    <row r="25" spans="8:8" ht="23.85">
      <c r="A25" s="30">
        <v>21.0</v>
      </c>
      <c r="B25" s="30" t="s">
        <v>223</v>
      </c>
      <c r="C25" s="30" t="s">
        <v>224</v>
      </c>
      <c r="D25" s="30" t="s">
        <v>225</v>
      </c>
      <c r="E25" s="30" t="s">
        <v>226</v>
      </c>
      <c r="F25" s="30" t="s">
        <v>227</v>
      </c>
      <c r="G25" s="30" t="s">
        <v>207</v>
      </c>
    </row>
    <row r="26" spans="8:8" ht="23.85">
      <c r="A26" s="30">
        <v>22.0</v>
      </c>
      <c r="B26" s="30" t="s">
        <v>228</v>
      </c>
      <c r="C26" s="30" t="s">
        <v>229</v>
      </c>
      <c r="D26" s="30" t="s">
        <v>230</v>
      </c>
      <c r="E26" s="30" t="s">
        <v>231</v>
      </c>
      <c r="F26" s="30" t="s">
        <v>232</v>
      </c>
      <c r="G26" s="30" t="s">
        <v>146</v>
      </c>
    </row>
  </sheetData>
  <pageMargins left="0.75" right="0.75" top="1.0" bottom="1.0" header="0.511811023622047" footer="0.511811023622047"/>
  <pageSetup paperSize="9"/>
</worksheet>
</file>

<file path=xl/worksheets/sheet4.xml><?xml version="1.0" encoding="utf-8"?>
<worksheet xmlns:r="http://schemas.openxmlformats.org/officeDocument/2006/relationships" xmlns="http://schemas.openxmlformats.org/spreadsheetml/2006/main">
  <dimension ref="A1:I17"/>
  <sheetViews>
    <sheetView workbookViewId="0" topLeftCell="B1" showGridLines="0">
      <selection activeCell="A1" sqref="A1"/>
    </sheetView>
  </sheetViews>
  <sheetFormatPr defaultRowHeight="15.0" zeroHeight="1"/>
  <cols>
    <col min="1" max="1" customWidth="1" width="14.0" style="0"/>
    <col min="2" max="2" customWidth="1" width="58.0" style="0"/>
    <col min="3" max="4" customWidth="1" width="14.0" style="0"/>
    <col min="5" max="5" customWidth="1" width="8.0" style="0"/>
    <col min="6" max="7" customWidth="1" width="22.0" style="0"/>
    <col min="8" max="8" customWidth="1" width="14.0" style="0"/>
  </cols>
  <sheetData>
    <row r="1" spans="8:8" ht="17.35">
      <c r="A1" s="28" t="s">
        <v>233</v>
      </c>
    </row>
    <row r="3" spans="8:8" ht="15.0">
      <c r="A3" s="13" t="s">
        <v>234</v>
      </c>
      <c r="B3" s="13" t="s">
        <v>235</v>
      </c>
      <c r="C3" s="13" t="s">
        <v>236</v>
      </c>
      <c r="D3" s="13" t="s">
        <v>237</v>
      </c>
      <c r="E3" s="13" t="s">
        <v>238</v>
      </c>
      <c r="F3" s="13" t="s">
        <v>239</v>
      </c>
      <c r="G3" s="13" t="s">
        <v>240</v>
      </c>
      <c r="H3" s="13" t="s">
        <v>33</v>
      </c>
    </row>
    <row r="4" spans="8:8" ht="23.85">
      <c r="A4" s="30" t="s">
        <v>241</v>
      </c>
      <c r="B4" s="30" t="s">
        <v>242</v>
      </c>
      <c r="C4" s="31">
        <v>46296.0</v>
      </c>
      <c r="D4" s="31">
        <v>46325.0</v>
      </c>
      <c r="E4" s="32">
        <f>NETWORKDAYS(C4,D4)</f>
        <v>22.0</v>
      </c>
      <c r="F4" s="30" t="s">
        <v>243</v>
      </c>
      <c r="G4" s="30" t="s">
        <v>244</v>
      </c>
      <c r="H4" s="33" t="s">
        <v>245</v>
      </c>
    </row>
    <row r="5" spans="8:8" ht="15.0">
      <c r="A5" s="30" t="s">
        <v>241</v>
      </c>
      <c r="B5" s="30" t="s">
        <v>246</v>
      </c>
      <c r="C5" s="31">
        <v>46307.0</v>
      </c>
      <c r="D5" s="31">
        <v>46325.0</v>
      </c>
      <c r="E5" s="32">
        <f>NETWORKDAYS(C5,D5)</f>
        <v>15.0</v>
      </c>
      <c r="F5" s="30" t="s">
        <v>247</v>
      </c>
      <c r="G5" s="30" t="s">
        <v>248</v>
      </c>
      <c r="H5" s="33" t="s">
        <v>245</v>
      </c>
    </row>
    <row r="6" spans="8:8" ht="15.0">
      <c r="A6" s="30" t="s">
        <v>249</v>
      </c>
      <c r="B6" s="30" t="s">
        <v>250</v>
      </c>
      <c r="C6" s="31">
        <v>46328.0</v>
      </c>
      <c r="D6" s="31">
        <v>46339.0</v>
      </c>
      <c r="E6" s="32">
        <f>NETWORKDAYS(C6,D6)</f>
        <v>10.0</v>
      </c>
      <c r="F6" s="30" t="s">
        <v>251</v>
      </c>
      <c r="G6" s="30" t="s">
        <v>252</v>
      </c>
      <c r="H6" s="33" t="s">
        <v>245</v>
      </c>
    </row>
    <row r="7" spans="8:8" ht="15.0">
      <c r="A7" s="30" t="s">
        <v>249</v>
      </c>
      <c r="B7" s="30" t="s">
        <v>253</v>
      </c>
      <c r="C7" s="31">
        <v>46342.0</v>
      </c>
      <c r="D7" s="31">
        <v>46367.0</v>
      </c>
      <c r="E7" s="32">
        <f>NETWORKDAYS(C7,D7)</f>
        <v>20.0</v>
      </c>
      <c r="F7" s="30" t="s">
        <v>251</v>
      </c>
      <c r="G7" s="30" t="s">
        <v>254</v>
      </c>
      <c r="H7" s="33" t="s">
        <v>245</v>
      </c>
    </row>
    <row r="8" spans="8:8" ht="15.0">
      <c r="A8" s="30" t="s">
        <v>249</v>
      </c>
      <c r="B8" s="30" t="s">
        <v>255</v>
      </c>
      <c r="C8" s="31">
        <v>46391.0</v>
      </c>
      <c r="D8" s="31">
        <v>46409.0</v>
      </c>
      <c r="E8" s="32">
        <f>NETWORKDAYS(C8,D8)</f>
        <v>15.0</v>
      </c>
      <c r="F8" s="30" t="s">
        <v>251</v>
      </c>
      <c r="G8" s="30" t="s">
        <v>254</v>
      </c>
      <c r="H8" s="33" t="s">
        <v>245</v>
      </c>
    </row>
    <row r="9" spans="8:8" ht="15.0">
      <c r="A9" s="30" t="s">
        <v>249</v>
      </c>
      <c r="B9" s="30" t="s">
        <v>256</v>
      </c>
      <c r="C9" s="31">
        <v>46412.0</v>
      </c>
      <c r="D9" s="31">
        <v>46430.0</v>
      </c>
      <c r="E9" s="32">
        <f>NETWORKDAYS(C9,D9)</f>
        <v>15.0</v>
      </c>
      <c r="F9" s="30" t="s">
        <v>251</v>
      </c>
      <c r="G9" s="30" t="s">
        <v>254</v>
      </c>
      <c r="H9" s="33" t="s">
        <v>245</v>
      </c>
    </row>
    <row r="10" spans="8:8" ht="15.0">
      <c r="A10" s="30" t="s">
        <v>249</v>
      </c>
      <c r="B10" s="30" t="s">
        <v>257</v>
      </c>
      <c r="C10" s="31">
        <v>46433.0</v>
      </c>
      <c r="D10" s="31">
        <v>46444.0</v>
      </c>
      <c r="E10" s="32">
        <f>NETWORKDAYS(C10,D10)</f>
        <v>10.0</v>
      </c>
      <c r="F10" s="30" t="s">
        <v>251</v>
      </c>
      <c r="G10" s="30" t="s">
        <v>254</v>
      </c>
      <c r="H10" s="33" t="s">
        <v>245</v>
      </c>
    </row>
    <row r="11" spans="8:8" ht="15.0">
      <c r="A11" s="30" t="s">
        <v>258</v>
      </c>
      <c r="B11" s="30" t="s">
        <v>259</v>
      </c>
      <c r="C11" s="31">
        <v>46447.0</v>
      </c>
      <c r="D11" s="31">
        <v>46456.0</v>
      </c>
      <c r="E11" s="32">
        <f>NETWORKDAYS(C11,D11)</f>
        <v>8.0</v>
      </c>
      <c r="F11" s="30" t="s">
        <v>260</v>
      </c>
      <c r="G11" s="30" t="s">
        <v>261</v>
      </c>
      <c r="H11" s="33" t="s">
        <v>245</v>
      </c>
    </row>
    <row r="12" spans="8:8" ht="23.85">
      <c r="A12" s="30" t="s">
        <v>258</v>
      </c>
      <c r="B12" s="30" t="s">
        <v>262</v>
      </c>
      <c r="C12" s="31">
        <v>46457.0</v>
      </c>
      <c r="D12" s="31">
        <v>46465.0</v>
      </c>
      <c r="E12" s="32">
        <f>NETWORKDAYS(C12,D12)</f>
        <v>7.0</v>
      </c>
      <c r="F12" s="30" t="s">
        <v>263</v>
      </c>
      <c r="G12" s="30" t="s">
        <v>264</v>
      </c>
      <c r="H12" s="33" t="s">
        <v>245</v>
      </c>
    </row>
    <row r="13" spans="8:8" ht="15.0">
      <c r="A13" s="30" t="s">
        <v>265</v>
      </c>
      <c r="B13" s="30" t="s">
        <v>266</v>
      </c>
      <c r="C13" s="31">
        <v>46468.0</v>
      </c>
      <c r="D13" s="31">
        <v>46471.0</v>
      </c>
      <c r="E13" s="32">
        <f>NETWORKDAYS(C13,D13)</f>
        <v>4.0</v>
      </c>
      <c r="F13" s="30" t="s">
        <v>267</v>
      </c>
      <c r="G13" s="30" t="s">
        <v>268</v>
      </c>
      <c r="H13" s="33" t="s">
        <v>245</v>
      </c>
    </row>
    <row r="14" spans="8:8" ht="15.0">
      <c r="A14" s="30" t="s">
        <v>265</v>
      </c>
      <c r="B14" s="30" t="s">
        <v>269</v>
      </c>
      <c r="C14" s="31">
        <v>46472.0</v>
      </c>
      <c r="D14" s="31">
        <v>46477.0</v>
      </c>
      <c r="E14" s="32">
        <f>NETWORKDAYS(C14,D14)</f>
        <v>4.0</v>
      </c>
      <c r="F14" s="30" t="s">
        <v>270</v>
      </c>
      <c r="G14" s="30" t="s">
        <v>271</v>
      </c>
      <c r="H14" s="33" t="s">
        <v>245</v>
      </c>
    </row>
    <row r="15" spans="8:8" ht="15.0">
      <c r="A15" s="30" t="s">
        <v>272</v>
      </c>
      <c r="B15" s="30" t="s">
        <v>273</v>
      </c>
      <c r="C15" s="31">
        <v>46478.0</v>
      </c>
      <c r="D15" s="31">
        <v>46568.0</v>
      </c>
      <c r="E15" s="32">
        <f>NETWORKDAYS(C15,D15)</f>
        <v>65.0</v>
      </c>
      <c r="F15" s="30" t="s">
        <v>247</v>
      </c>
      <c r="G15" s="30" t="s">
        <v>274</v>
      </c>
      <c r="H15" s="33" t="s">
        <v>245</v>
      </c>
    </row>
    <row r="17" spans="8:8" ht="15.0">
      <c r="A17" s="27" t="s">
        <v>275</v>
      </c>
    </row>
  </sheetData>
  <dataValidations count="1">
    <dataValidation allowBlank="1" type="list" errorStyle="stop" sqref="H4:H15">
      <formula1>"Not Started,In Progress,Completed"</formula1>
      <formula2>0</formula2>
    </dataValidation>
  </dataValidations>
  <pageMargins left="0.75" right="0.75" top="1.0" bottom="1.0" header="0.511811023622047" footer="0.511811023622047"/>
  <pageSetup paperSize="9"/>
</worksheet>
</file>

<file path=xl/worksheets/sheet5.xml><?xml version="1.0" encoding="utf-8"?>
<worksheet xmlns:r="http://schemas.openxmlformats.org/officeDocument/2006/relationships" xmlns="http://schemas.openxmlformats.org/spreadsheetml/2006/main">
  <sheetPr>
    <tabColor rgb="FF7030A0"/>
    <pageSetUpPr fitToPage="1"/>
  </sheetPr>
  <dimension ref="A1:R55"/>
  <sheetViews>
    <sheetView workbookViewId="0" topLeftCell="B1" showGridLines="0" zoomScale="90">
      <pane xSplit="1"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276</v>
      </c>
      <c r="N1" s="34" t="s">
        <v>277</v>
      </c>
    </row>
    <row r="2" spans="8:8" ht="15.0">
      <c r="A2" s="12" t="s">
        <v>278</v>
      </c>
    </row>
    <row r="4" spans="8:8" ht="15.75" customHeight="1">
      <c r="A4" s="35" t="s">
        <v>59</v>
      </c>
      <c r="B4" s="35"/>
      <c r="C4" s="36" t="s">
        <v>68</v>
      </c>
      <c r="D4" s="36"/>
      <c r="E4" s="36"/>
      <c r="F4" s="36"/>
      <c r="H4" s="35" t="s">
        <v>279</v>
      </c>
      <c r="I4" s="35"/>
      <c r="J4" s="35"/>
      <c r="K4" s="37" t="s">
        <v>280</v>
      </c>
    </row>
    <row r="5" spans="8:8" ht="15.75" customHeight="1">
      <c r="A5" s="35" t="s">
        <v>281</v>
      </c>
      <c r="B5" s="35"/>
      <c r="C5" s="36" t="s">
        <v>51</v>
      </c>
      <c r="D5" s="36"/>
      <c r="E5" s="36"/>
      <c r="F5" s="36"/>
      <c r="H5" s="35" t="s">
        <v>63</v>
      </c>
      <c r="I5" s="35"/>
      <c r="J5" s="35"/>
      <c r="K5" s="38">
        <v>46328.0</v>
      </c>
    </row>
    <row r="6" spans="8:8" ht="15.75" customHeight="1">
      <c r="A6" s="35" t="s">
        <v>282</v>
      </c>
      <c r="B6" s="35"/>
      <c r="C6" s="36" t="s">
        <v>69</v>
      </c>
      <c r="D6" s="36"/>
      <c r="E6" s="36"/>
      <c r="F6" s="36"/>
      <c r="H6" s="35" t="s">
        <v>283</v>
      </c>
      <c r="I6" s="35"/>
      <c r="J6" s="35"/>
      <c r="K6" s="38">
        <v>46339.0</v>
      </c>
    </row>
    <row r="7" spans="8:8" ht="15.75" customHeight="1">
      <c r="A7" s="35" t="s">
        <v>61</v>
      </c>
      <c r="B7" s="35"/>
      <c r="C7" s="39" t="s">
        <v>280</v>
      </c>
      <c r="D7" s="39"/>
      <c r="E7" s="39"/>
      <c r="F7" s="39"/>
      <c r="H7" s="35" t="s">
        <v>284</v>
      </c>
      <c r="I7" s="35"/>
      <c r="J7" s="35"/>
      <c r="K7" s="40">
        <f>COUNTA(A15:A53)</f>
        <v>39.0</v>
      </c>
    </row>
    <row r="8" spans="8:8" ht="15.75" customHeight="1">
      <c r="A8" s="35" t="s">
        <v>285</v>
      </c>
      <c r="B8" s="35"/>
      <c r="C8" s="36" t="s">
        <v>286</v>
      </c>
      <c r="D8" s="36"/>
      <c r="E8" s="36"/>
      <c r="F8" s="36"/>
      <c r="H8" s="35" t="s">
        <v>34</v>
      </c>
      <c r="I8" s="35"/>
      <c r="J8" s="35"/>
      <c r="K8" s="40">
        <f>COUNTIF(K15:K53,"Completed")</f>
        <v>0.0</v>
      </c>
    </row>
    <row r="9" spans="8:8" ht="15.75" customHeight="1">
      <c r="A9" s="35" t="s">
        <v>287</v>
      </c>
      <c r="B9" s="35"/>
      <c r="C9" s="36" t="s">
        <v>288</v>
      </c>
      <c r="D9" s="36"/>
      <c r="E9" s="36"/>
      <c r="F9" s="36"/>
      <c r="H9" s="35" t="s">
        <v>64</v>
      </c>
      <c r="I9" s="35"/>
      <c r="J9" s="35"/>
      <c r="K9" s="40">
        <f>COUNTIF(L15:L53,"Compliant")</f>
        <v>0.0</v>
      </c>
    </row>
    <row r="10" spans="8:8" ht="15.75" customHeight="1">
      <c r="A10" s="35" t="s">
        <v>289</v>
      </c>
      <c r="B10" s="35"/>
      <c r="C10" s="36" t="s">
        <v>290</v>
      </c>
      <c r="D10" s="36"/>
      <c r="E10" s="36"/>
      <c r="F10" s="36"/>
      <c r="H10" s="35" t="s">
        <v>36</v>
      </c>
      <c r="I10" s="35"/>
      <c r="J10" s="35"/>
      <c r="K10" s="40">
        <f>COUNTIF(L15:L53,"Partially Compliant")</f>
        <v>0.0</v>
      </c>
    </row>
    <row r="11" spans="8:8" ht="15.75" customHeight="1">
      <c r="A11" s="35" t="s">
        <v>291</v>
      </c>
      <c r="B11" s="35"/>
      <c r="C11" s="39" t="s">
        <v>30</v>
      </c>
      <c r="D11" s="39"/>
      <c r="E11" s="39"/>
      <c r="F11" s="39"/>
      <c r="H11" s="35" t="s">
        <v>49</v>
      </c>
      <c r="I11" s="35"/>
      <c r="J11" s="35"/>
      <c r="K11" s="40">
        <f>COUNTIF(L15:L53,"Non-Compliant")</f>
        <v>0.0</v>
      </c>
    </row>
    <row r="12" spans="8:8" ht="15.0">
      <c r="H12" s="35" t="s">
        <v>292</v>
      </c>
      <c r="I12" s="35"/>
      <c r="J12" s="35"/>
      <c r="K12" s="40">
        <f>COUNTIF(L15:L53,"Not Applicable")</f>
        <v>0.0</v>
      </c>
    </row>
    <row r="13" spans="8:8" ht="15.0">
      <c r="H13" s="35" t="s">
        <v>293</v>
      </c>
      <c r="I13" s="35"/>
      <c r="J13" s="35"/>
      <c r="K13" s="41" t="str">
        <f>_xlfn.IFERROR(AVERAGE(M15:M53),"")</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35.05">
      <c r="A15" s="30" t="s">
        <v>298</v>
      </c>
      <c r="B15" s="43" t="s">
        <v>299</v>
      </c>
      <c r="C15" s="30" t="s">
        <v>300</v>
      </c>
      <c r="D15" s="30" t="s">
        <v>301</v>
      </c>
      <c r="E15" s="30" t="s">
        <v>302</v>
      </c>
      <c r="F15" s="30" t="s">
        <v>303</v>
      </c>
      <c r="G15" s="33" t="s">
        <v>30</v>
      </c>
      <c r="H15" s="44">
        <f>$K$5</f>
        <v>46328.0</v>
      </c>
      <c r="I15" s="44">
        <f>$K$6</f>
        <v>46339.0</v>
      </c>
      <c r="J15" s="33"/>
      <c r="K15" s="33" t="s">
        <v>245</v>
      </c>
      <c r="L15" s="33"/>
      <c r="M15" s="45" t="str">
        <f>IF(L15="Compliant",1,IF(L15="Partially Compliant",0.5,IF(L15="Non-Compliant",0,"")))</f>
        <v/>
      </c>
      <c r="N15" s="33"/>
      <c r="O15" s="33"/>
      <c r="P15" s="33"/>
      <c r="Q15" s="31"/>
    </row>
    <row r="16" spans="8:8" ht="23.85">
      <c r="A16" s="30" t="s">
        <v>304</v>
      </c>
      <c r="B16" s="43" t="s">
        <v>305</v>
      </c>
      <c r="C16" s="30" t="s">
        <v>306</v>
      </c>
      <c r="D16" s="30" t="s">
        <v>307</v>
      </c>
      <c r="E16" s="30" t="s">
        <v>308</v>
      </c>
      <c r="F16" s="30" t="s">
        <v>309</v>
      </c>
      <c r="G16" s="33" t="s">
        <v>146</v>
      </c>
      <c r="H16" s="44">
        <f>$K$5</f>
        <v>46328.0</v>
      </c>
      <c r="I16" s="44">
        <f>$K$6</f>
        <v>46339.0</v>
      </c>
      <c r="J16" s="33"/>
      <c r="K16" s="33" t="s">
        <v>245</v>
      </c>
      <c r="L16" s="33"/>
      <c r="M16" s="45" t="str">
        <f>IF(L16="Compliant",1,IF(L16="Partially Compliant",0.5,IF(L16="Non-Compliant",0,"")))</f>
        <v/>
      </c>
      <c r="N16" s="33"/>
      <c r="O16" s="33"/>
      <c r="P16" s="33"/>
      <c r="Q16" s="31"/>
    </row>
    <row r="17" spans="8:8" ht="35.05">
      <c r="A17" s="30" t="s">
        <v>310</v>
      </c>
      <c r="B17" s="43" t="s">
        <v>311</v>
      </c>
      <c r="C17" s="30" t="s">
        <v>312</v>
      </c>
      <c r="D17" s="30" t="s">
        <v>313</v>
      </c>
      <c r="E17" s="30" t="s">
        <v>314</v>
      </c>
      <c r="F17" s="30" t="s">
        <v>315</v>
      </c>
      <c r="G17" s="33" t="s">
        <v>30</v>
      </c>
      <c r="H17" s="44">
        <f>$K$5</f>
        <v>46328.0</v>
      </c>
      <c r="I17" s="44">
        <f>$K$6</f>
        <v>46339.0</v>
      </c>
      <c r="J17" s="33"/>
      <c r="K17" s="33" t="s">
        <v>245</v>
      </c>
      <c r="L17" s="33"/>
      <c r="M17" s="45" t="str">
        <f>IF(L17="Compliant",1,IF(L17="Partially Compliant",0.5,IF(L17="Non-Compliant",0,"")))</f>
        <v/>
      </c>
      <c r="N17" s="33"/>
      <c r="O17" s="33"/>
      <c r="P17" s="33"/>
      <c r="Q17" s="31"/>
    </row>
    <row r="18" spans="8:8" ht="23.85">
      <c r="A18" s="30" t="s">
        <v>316</v>
      </c>
      <c r="B18" s="43" t="s">
        <v>317</v>
      </c>
      <c r="C18" s="30" t="s">
        <v>318</v>
      </c>
      <c r="D18" s="30" t="s">
        <v>319</v>
      </c>
      <c r="E18" s="30" t="s">
        <v>320</v>
      </c>
      <c r="F18" s="30" t="s">
        <v>321</v>
      </c>
      <c r="G18" s="33" t="s">
        <v>146</v>
      </c>
      <c r="H18" s="44">
        <f>$K$5</f>
        <v>46328.0</v>
      </c>
      <c r="I18" s="44">
        <f>$K$6</f>
        <v>46339.0</v>
      </c>
      <c r="J18" s="33"/>
      <c r="K18" s="33" t="s">
        <v>245</v>
      </c>
      <c r="L18" s="33"/>
      <c r="M18" s="45" t="str">
        <f>IF(L18="Compliant",1,IF(L18="Partially Compliant",0.5,IF(L18="Non-Compliant",0,"")))</f>
        <v/>
      </c>
      <c r="N18" s="33"/>
      <c r="O18" s="33"/>
      <c r="P18" s="33"/>
      <c r="Q18" s="31"/>
    </row>
    <row r="19" spans="8:8" ht="35.05">
      <c r="A19" s="30" t="s">
        <v>322</v>
      </c>
      <c r="B19" s="43" t="s">
        <v>323</v>
      </c>
      <c r="C19" s="30" t="s">
        <v>324</v>
      </c>
      <c r="D19" s="30" t="s">
        <v>325</v>
      </c>
      <c r="E19" s="30" t="s">
        <v>326</v>
      </c>
      <c r="F19" s="30" t="s">
        <v>327</v>
      </c>
      <c r="G19" s="33" t="s">
        <v>146</v>
      </c>
      <c r="H19" s="44">
        <f>$K$5</f>
        <v>46328.0</v>
      </c>
      <c r="I19" s="44">
        <f>$K$6</f>
        <v>46339.0</v>
      </c>
      <c r="J19" s="33"/>
      <c r="K19" s="33" t="s">
        <v>245</v>
      </c>
      <c r="L19" s="33"/>
      <c r="M19" s="45" t="str">
        <f>IF(L19="Compliant",1,IF(L19="Partially Compliant",0.5,IF(L19="Non-Compliant",0,"")))</f>
        <v/>
      </c>
      <c r="N19" s="33"/>
      <c r="O19" s="33"/>
      <c r="P19" s="33"/>
      <c r="Q19" s="31"/>
    </row>
    <row r="20" spans="8:8" ht="35.05">
      <c r="A20" s="30" t="s">
        <v>328</v>
      </c>
      <c r="B20" s="43" t="s">
        <v>329</v>
      </c>
      <c r="C20" s="30" t="s">
        <v>330</v>
      </c>
      <c r="D20" s="30" t="s">
        <v>331</v>
      </c>
      <c r="E20" s="30" t="s">
        <v>332</v>
      </c>
      <c r="F20" s="30" t="s">
        <v>333</v>
      </c>
      <c r="G20" s="33" t="s">
        <v>30</v>
      </c>
      <c r="H20" s="44">
        <f>$K$5</f>
        <v>46328.0</v>
      </c>
      <c r="I20" s="44">
        <f>$K$6</f>
        <v>46339.0</v>
      </c>
      <c r="J20" s="33"/>
      <c r="K20" s="33" t="s">
        <v>245</v>
      </c>
      <c r="L20" s="33"/>
      <c r="M20" s="45" t="str">
        <f>IF(L20="Compliant",1,IF(L20="Partially Compliant",0.5,IF(L20="Non-Compliant",0,"")))</f>
        <v/>
      </c>
      <c r="N20" s="33"/>
      <c r="O20" s="33"/>
      <c r="P20" s="33"/>
      <c r="Q20" s="31"/>
    </row>
    <row r="21" spans="8:8" ht="23.85">
      <c r="A21" s="30" t="s">
        <v>334</v>
      </c>
      <c r="B21" s="43" t="s">
        <v>335</v>
      </c>
      <c r="C21" s="30" t="s">
        <v>336</v>
      </c>
      <c r="D21" s="30" t="s">
        <v>337</v>
      </c>
      <c r="E21" s="30" t="s">
        <v>338</v>
      </c>
      <c r="F21" s="30" t="s">
        <v>339</v>
      </c>
      <c r="G21" s="33" t="s">
        <v>146</v>
      </c>
      <c r="H21" s="44">
        <f>$K$5</f>
        <v>46328.0</v>
      </c>
      <c r="I21" s="44">
        <f>$K$6</f>
        <v>46339.0</v>
      </c>
      <c r="J21" s="33"/>
      <c r="K21" s="33" t="s">
        <v>245</v>
      </c>
      <c r="L21" s="33"/>
      <c r="M21" s="45" t="str">
        <f>IF(L21="Compliant",1,IF(L21="Partially Compliant",0.5,IF(L21="Non-Compliant",0,"")))</f>
        <v/>
      </c>
      <c r="N21" s="33"/>
      <c r="O21" s="33"/>
      <c r="P21" s="33"/>
      <c r="Q21" s="31"/>
    </row>
    <row r="22" spans="8:8" ht="35.05">
      <c r="A22" s="30" t="s">
        <v>340</v>
      </c>
      <c r="B22" s="43" t="s">
        <v>341</v>
      </c>
      <c r="C22" s="30" t="s">
        <v>342</v>
      </c>
      <c r="D22" s="30" t="s">
        <v>343</v>
      </c>
      <c r="E22" s="30" t="s">
        <v>344</v>
      </c>
      <c r="F22" s="30" t="s">
        <v>345</v>
      </c>
      <c r="G22" s="33" t="s">
        <v>30</v>
      </c>
      <c r="H22" s="44">
        <f>$K$5</f>
        <v>46328.0</v>
      </c>
      <c r="I22" s="44">
        <f>$K$6</f>
        <v>46339.0</v>
      </c>
      <c r="J22" s="33"/>
      <c r="K22" s="33" t="s">
        <v>245</v>
      </c>
      <c r="L22" s="33"/>
      <c r="M22" s="45" t="str">
        <f>IF(L22="Compliant",1,IF(L22="Partially Compliant",0.5,IF(L22="Non-Compliant",0,"")))</f>
        <v/>
      </c>
      <c r="N22" s="33"/>
      <c r="O22" s="33"/>
      <c r="P22" s="33"/>
      <c r="Q22" s="31"/>
    </row>
    <row r="23" spans="8:8" ht="35.05">
      <c r="A23" s="30" t="s">
        <v>346</v>
      </c>
      <c r="B23" s="43" t="s">
        <v>347</v>
      </c>
      <c r="C23" s="30" t="s">
        <v>348</v>
      </c>
      <c r="D23" s="30" t="s">
        <v>349</v>
      </c>
      <c r="E23" s="30" t="s">
        <v>350</v>
      </c>
      <c r="F23" s="30" t="s">
        <v>351</v>
      </c>
      <c r="G23" s="33" t="s">
        <v>30</v>
      </c>
      <c r="H23" s="44">
        <f>$K$5</f>
        <v>46328.0</v>
      </c>
      <c r="I23" s="44">
        <f>$K$6</f>
        <v>46339.0</v>
      </c>
      <c r="J23" s="33"/>
      <c r="K23" s="33" t="s">
        <v>245</v>
      </c>
      <c r="L23" s="33"/>
      <c r="M23" s="45" t="str">
        <f>IF(L23="Compliant",1,IF(L23="Partially Compliant",0.5,IF(L23="Non-Compliant",0,"")))</f>
        <v/>
      </c>
      <c r="N23" s="33"/>
      <c r="O23" s="33"/>
      <c r="P23" s="33"/>
      <c r="Q23" s="31"/>
    </row>
    <row r="24" spans="8:8" ht="23.85">
      <c r="A24" s="30" t="s">
        <v>352</v>
      </c>
      <c r="B24" s="43" t="s">
        <v>353</v>
      </c>
      <c r="C24" s="30" t="s">
        <v>354</v>
      </c>
      <c r="D24" s="30" t="s">
        <v>355</v>
      </c>
      <c r="E24" s="30" t="s">
        <v>356</v>
      </c>
      <c r="F24" s="30" t="s">
        <v>357</v>
      </c>
      <c r="G24" s="33" t="s">
        <v>146</v>
      </c>
      <c r="H24" s="44">
        <f>$K$5</f>
        <v>46328.0</v>
      </c>
      <c r="I24" s="44">
        <f>$K$6</f>
        <v>46339.0</v>
      </c>
      <c r="J24" s="33"/>
      <c r="K24" s="33" t="s">
        <v>245</v>
      </c>
      <c r="L24" s="33"/>
      <c r="M24" s="45" t="str">
        <f>IF(L24="Compliant",1,IF(L24="Partially Compliant",0.5,IF(L24="Non-Compliant",0,"")))</f>
        <v/>
      </c>
      <c r="N24" s="33"/>
      <c r="O24" s="33"/>
      <c r="P24" s="33"/>
      <c r="Q24" s="31"/>
    </row>
    <row r="25" spans="8:8" ht="35.05">
      <c r="A25" s="30" t="s">
        <v>358</v>
      </c>
      <c r="B25" s="43" t="s">
        <v>359</v>
      </c>
      <c r="C25" s="30" t="s">
        <v>360</v>
      </c>
      <c r="D25" s="30" t="s">
        <v>361</v>
      </c>
      <c r="E25" s="30" t="s">
        <v>362</v>
      </c>
      <c r="F25" s="30" t="s">
        <v>363</v>
      </c>
      <c r="G25" s="33" t="s">
        <v>30</v>
      </c>
      <c r="H25" s="44">
        <f>$K$5</f>
        <v>46328.0</v>
      </c>
      <c r="I25" s="44">
        <f>$K$6</f>
        <v>46339.0</v>
      </c>
      <c r="J25" s="33"/>
      <c r="K25" s="33" t="s">
        <v>245</v>
      </c>
      <c r="L25" s="33"/>
      <c r="M25" s="45" t="str">
        <f>IF(L25="Compliant",1,IF(L25="Partially Compliant",0.5,IF(L25="Non-Compliant",0,"")))</f>
        <v/>
      </c>
      <c r="N25" s="33"/>
      <c r="O25" s="33"/>
      <c r="P25" s="33"/>
      <c r="Q25" s="31"/>
    </row>
    <row r="26" spans="8:8" ht="35.05">
      <c r="A26" s="30" t="s">
        <v>364</v>
      </c>
      <c r="B26" s="43" t="s">
        <v>365</v>
      </c>
      <c r="C26" s="30" t="s">
        <v>366</v>
      </c>
      <c r="D26" s="30" t="s">
        <v>367</v>
      </c>
      <c r="E26" s="30" t="s">
        <v>368</v>
      </c>
      <c r="F26" s="30" t="s">
        <v>369</v>
      </c>
      <c r="G26" s="33" t="s">
        <v>146</v>
      </c>
      <c r="H26" s="44">
        <f>$K$5</f>
        <v>46328.0</v>
      </c>
      <c r="I26" s="44">
        <f>$K$6</f>
        <v>46339.0</v>
      </c>
      <c r="J26" s="33"/>
      <c r="K26" s="33" t="s">
        <v>245</v>
      </c>
      <c r="L26" s="33"/>
      <c r="M26" s="45" t="str">
        <f>IF(L26="Compliant",1,IF(L26="Partially Compliant",0.5,IF(L26="Non-Compliant",0,"")))</f>
        <v/>
      </c>
      <c r="N26" s="33"/>
      <c r="O26" s="33"/>
      <c r="P26" s="33"/>
      <c r="Q26" s="31"/>
    </row>
    <row r="27" spans="8:8" ht="35.05">
      <c r="A27" s="30" t="s">
        <v>370</v>
      </c>
      <c r="B27" s="43" t="s">
        <v>371</v>
      </c>
      <c r="C27" s="30" t="s">
        <v>372</v>
      </c>
      <c r="D27" s="30" t="s">
        <v>373</v>
      </c>
      <c r="E27" s="30" t="s">
        <v>374</v>
      </c>
      <c r="F27" s="30" t="s">
        <v>375</v>
      </c>
      <c r="G27" s="33" t="s">
        <v>30</v>
      </c>
      <c r="H27" s="44">
        <f>$K$5</f>
        <v>46328.0</v>
      </c>
      <c r="I27" s="44">
        <f>$K$6</f>
        <v>46339.0</v>
      </c>
      <c r="J27" s="33"/>
      <c r="K27" s="33" t="s">
        <v>245</v>
      </c>
      <c r="L27" s="33"/>
      <c r="M27" s="45" t="str">
        <f>IF(L27="Compliant",1,IF(L27="Partially Compliant",0.5,IF(L27="Non-Compliant",0,"")))</f>
        <v/>
      </c>
      <c r="N27" s="33"/>
      <c r="O27" s="33"/>
      <c r="P27" s="33"/>
      <c r="Q27" s="31"/>
    </row>
    <row r="28" spans="8:8" ht="35.05">
      <c r="A28" s="30" t="s">
        <v>376</v>
      </c>
      <c r="B28" s="43" t="s">
        <v>377</v>
      </c>
      <c r="C28" s="30" t="s">
        <v>378</v>
      </c>
      <c r="D28" s="30" t="s">
        <v>379</v>
      </c>
      <c r="E28" s="30" t="s">
        <v>380</v>
      </c>
      <c r="F28" s="30" t="s">
        <v>381</v>
      </c>
      <c r="G28" s="33" t="s">
        <v>146</v>
      </c>
      <c r="H28" s="44">
        <f>$K$5</f>
        <v>46328.0</v>
      </c>
      <c r="I28" s="44">
        <f>$K$6</f>
        <v>46339.0</v>
      </c>
      <c r="J28" s="33"/>
      <c r="K28" s="33" t="s">
        <v>245</v>
      </c>
      <c r="L28" s="33"/>
      <c r="M28" s="45" t="str">
        <f>IF(L28="Compliant",1,IF(L28="Partially Compliant",0.5,IF(L28="Non-Compliant",0,"")))</f>
        <v/>
      </c>
      <c r="N28" s="33"/>
      <c r="O28" s="33"/>
      <c r="P28" s="33"/>
      <c r="Q28" s="31"/>
    </row>
    <row r="29" spans="8:8" ht="23.85">
      <c r="A29" s="30" t="s">
        <v>382</v>
      </c>
      <c r="B29" s="43" t="s">
        <v>383</v>
      </c>
      <c r="C29" s="30" t="s">
        <v>193</v>
      </c>
      <c r="D29" s="30" t="s">
        <v>384</v>
      </c>
      <c r="E29" s="30" t="s">
        <v>385</v>
      </c>
      <c r="F29" s="30" t="s">
        <v>386</v>
      </c>
      <c r="G29" s="33" t="s">
        <v>30</v>
      </c>
      <c r="H29" s="44">
        <f>$K$5</f>
        <v>46328.0</v>
      </c>
      <c r="I29" s="44">
        <f>$K$6</f>
        <v>46339.0</v>
      </c>
      <c r="J29" s="33"/>
      <c r="K29" s="33" t="s">
        <v>245</v>
      </c>
      <c r="L29" s="33"/>
      <c r="M29" s="45" t="str">
        <f>IF(L29="Compliant",1,IF(L29="Partially Compliant",0.5,IF(L29="Non-Compliant",0,"")))</f>
        <v/>
      </c>
      <c r="N29" s="33"/>
      <c r="O29" s="33"/>
      <c r="P29" s="33"/>
      <c r="Q29" s="31"/>
    </row>
    <row r="30" spans="8:8" ht="46.25">
      <c r="A30" s="30" t="s">
        <v>387</v>
      </c>
      <c r="B30" s="43" t="s">
        <v>388</v>
      </c>
      <c r="C30" s="30" t="s">
        <v>389</v>
      </c>
      <c r="D30" s="30" t="s">
        <v>390</v>
      </c>
      <c r="E30" s="30" t="s">
        <v>391</v>
      </c>
      <c r="F30" s="30" t="s">
        <v>392</v>
      </c>
      <c r="G30" s="33" t="s">
        <v>30</v>
      </c>
      <c r="H30" s="44">
        <f>$K$5</f>
        <v>46328.0</v>
      </c>
      <c r="I30" s="44">
        <f>$K$6</f>
        <v>46339.0</v>
      </c>
      <c r="J30" s="33"/>
      <c r="K30" s="33" t="s">
        <v>245</v>
      </c>
      <c r="L30" s="33"/>
      <c r="M30" s="45" t="str">
        <f>IF(L30="Compliant",1,IF(L30="Partially Compliant",0.5,IF(L30="Non-Compliant",0,"")))</f>
        <v/>
      </c>
      <c r="N30" s="33"/>
      <c r="O30" s="33"/>
      <c r="P30" s="33"/>
      <c r="Q30" s="31"/>
    </row>
    <row r="31" spans="8:8" ht="23.85">
      <c r="A31" s="30" t="s">
        <v>393</v>
      </c>
      <c r="B31" s="43" t="s">
        <v>394</v>
      </c>
      <c r="C31" s="30" t="s">
        <v>395</v>
      </c>
      <c r="D31" s="30" t="s">
        <v>396</v>
      </c>
      <c r="E31" s="30" t="s">
        <v>397</v>
      </c>
      <c r="F31" s="30" t="s">
        <v>398</v>
      </c>
      <c r="G31" s="33" t="s">
        <v>207</v>
      </c>
      <c r="H31" s="44">
        <f>$K$5</f>
        <v>46328.0</v>
      </c>
      <c r="I31" s="44">
        <f>$K$6</f>
        <v>46339.0</v>
      </c>
      <c r="J31" s="33"/>
      <c r="K31" s="33" t="s">
        <v>245</v>
      </c>
      <c r="L31" s="33"/>
      <c r="M31" s="45" t="str">
        <f>IF(L31="Compliant",1,IF(L31="Partially Compliant",0.5,IF(L31="Non-Compliant",0,"")))</f>
        <v/>
      </c>
      <c r="N31" s="33"/>
      <c r="O31" s="33"/>
      <c r="P31" s="33"/>
      <c r="Q31" s="31"/>
    </row>
    <row r="32" spans="8:8" ht="57.45">
      <c r="A32" s="30" t="s">
        <v>399</v>
      </c>
      <c r="B32" s="30" t="s">
        <v>122</v>
      </c>
      <c r="C32" s="30" t="s">
        <v>123</v>
      </c>
      <c r="D32" s="30" t="s">
        <v>124</v>
      </c>
      <c r="E32" s="30" t="s">
        <v>400</v>
      </c>
      <c r="F32" s="30" t="s">
        <v>126</v>
      </c>
      <c r="G32" s="33" t="s">
        <v>30</v>
      </c>
      <c r="H32" s="44">
        <f>$K$5</f>
        <v>46328.0</v>
      </c>
      <c r="I32" s="44">
        <f>$K$6</f>
        <v>46339.0</v>
      </c>
      <c r="J32" s="33"/>
      <c r="K32" s="33" t="s">
        <v>245</v>
      </c>
      <c r="L32" s="33"/>
      <c r="M32" s="45" t="str">
        <f>IF(L32="Compliant",1,IF(L32="Partially Compliant",0.5,IF(L32="Non-Compliant",0,"")))</f>
        <v/>
      </c>
      <c r="N32" s="33"/>
      <c r="O32" s="33"/>
      <c r="P32" s="33"/>
      <c r="Q32" s="31"/>
    </row>
    <row r="33" spans="8:8" ht="35.05">
      <c r="A33" s="30" t="s">
        <v>401</v>
      </c>
      <c r="B33" s="30" t="s">
        <v>127</v>
      </c>
      <c r="C33" s="30" t="s">
        <v>128</v>
      </c>
      <c r="D33" s="30" t="s">
        <v>129</v>
      </c>
      <c r="E33" s="30" t="s">
        <v>402</v>
      </c>
      <c r="F33" s="30" t="s">
        <v>131</v>
      </c>
      <c r="G33" s="33" t="s">
        <v>30</v>
      </c>
      <c r="H33" s="44">
        <f>$K$5</f>
        <v>46328.0</v>
      </c>
      <c r="I33" s="44">
        <f>$K$6</f>
        <v>46339.0</v>
      </c>
      <c r="J33" s="33"/>
      <c r="K33" s="33" t="s">
        <v>245</v>
      </c>
      <c r="L33" s="33"/>
      <c r="M33" s="45" t="str">
        <f>IF(L33="Compliant",1,IF(L33="Partially Compliant",0.5,IF(L33="Non-Compliant",0,"")))</f>
        <v/>
      </c>
      <c r="N33" s="33"/>
      <c r="O33" s="33"/>
      <c r="P33" s="33"/>
      <c r="Q33" s="31"/>
    </row>
    <row r="34" spans="8:8" ht="35.05">
      <c r="A34" s="30" t="s">
        <v>403</v>
      </c>
      <c r="B34" s="30" t="s">
        <v>132</v>
      </c>
      <c r="C34" s="30" t="s">
        <v>133</v>
      </c>
      <c r="D34" s="30" t="s">
        <v>134</v>
      </c>
      <c r="E34" s="30" t="s">
        <v>135</v>
      </c>
      <c r="F34" s="30" t="s">
        <v>136</v>
      </c>
      <c r="G34" s="33" t="s">
        <v>30</v>
      </c>
      <c r="H34" s="44">
        <f>$K$5</f>
        <v>46328.0</v>
      </c>
      <c r="I34" s="44">
        <f>$K$6</f>
        <v>46339.0</v>
      </c>
      <c r="J34" s="33"/>
      <c r="K34" s="33" t="s">
        <v>245</v>
      </c>
      <c r="L34" s="33"/>
      <c r="M34" s="45" t="str">
        <f>IF(L34="Compliant",1,IF(L34="Partially Compliant",0.5,IF(L34="Non-Compliant",0,"")))</f>
        <v/>
      </c>
      <c r="N34" s="33"/>
      <c r="O34" s="33"/>
      <c r="P34" s="33"/>
      <c r="Q34" s="31"/>
    </row>
    <row r="35" spans="8:8" ht="57.45">
      <c r="A35" s="30" t="s">
        <v>404</v>
      </c>
      <c r="B35" s="30" t="s">
        <v>28</v>
      </c>
      <c r="C35" s="30" t="s">
        <v>137</v>
      </c>
      <c r="D35" s="30" t="s">
        <v>138</v>
      </c>
      <c r="E35" s="30" t="s">
        <v>405</v>
      </c>
      <c r="F35" s="30" t="s">
        <v>140</v>
      </c>
      <c r="G35" s="33" t="s">
        <v>30</v>
      </c>
      <c r="H35" s="44">
        <f>$K$5</f>
        <v>46328.0</v>
      </c>
      <c r="I35" s="44">
        <f>$K$6</f>
        <v>46339.0</v>
      </c>
      <c r="J35" s="33"/>
      <c r="K35" s="33" t="s">
        <v>245</v>
      </c>
      <c r="L35" s="33"/>
      <c r="M35" s="45" t="str">
        <f>IF(L35="Compliant",1,IF(L35="Partially Compliant",0.5,IF(L35="Non-Compliant",0,"")))</f>
        <v/>
      </c>
      <c r="N35" s="33"/>
      <c r="O35" s="33"/>
      <c r="P35" s="33"/>
      <c r="Q35" s="31"/>
    </row>
    <row r="36" spans="8:8" ht="35.05">
      <c r="A36" s="30" t="s">
        <v>406</v>
      </c>
      <c r="B36" s="30" t="s">
        <v>141</v>
      </c>
      <c r="C36" s="30" t="s">
        <v>142</v>
      </c>
      <c r="D36" s="30" t="s">
        <v>143</v>
      </c>
      <c r="E36" s="30" t="s">
        <v>407</v>
      </c>
      <c r="F36" s="30" t="s">
        <v>145</v>
      </c>
      <c r="G36" s="33" t="s">
        <v>30</v>
      </c>
      <c r="H36" s="44">
        <f>$K$5</f>
        <v>46328.0</v>
      </c>
      <c r="I36" s="44">
        <f>$K$6</f>
        <v>46339.0</v>
      </c>
      <c r="J36" s="33"/>
      <c r="K36" s="33" t="s">
        <v>245</v>
      </c>
      <c r="L36" s="33"/>
      <c r="M36" s="45" t="str">
        <f>IF(L36="Compliant",1,IF(L36="Partially Compliant",0.5,IF(L36="Non-Compliant",0,"")))</f>
        <v/>
      </c>
      <c r="N36" s="33"/>
      <c r="O36" s="33"/>
      <c r="P36" s="33"/>
      <c r="Q36" s="31"/>
    </row>
    <row r="37" spans="8:8" ht="46.25">
      <c r="A37" s="30" t="s">
        <v>408</v>
      </c>
      <c r="B37" s="30" t="s">
        <v>147</v>
      </c>
      <c r="C37" s="30" t="s">
        <v>148</v>
      </c>
      <c r="D37" s="30" t="s">
        <v>149</v>
      </c>
      <c r="E37" s="30" t="s">
        <v>409</v>
      </c>
      <c r="F37" s="30" t="s">
        <v>151</v>
      </c>
      <c r="G37" s="33" t="s">
        <v>30</v>
      </c>
      <c r="H37" s="44">
        <f>$K$5</f>
        <v>46328.0</v>
      </c>
      <c r="I37" s="44">
        <f>$K$6</f>
        <v>46339.0</v>
      </c>
      <c r="J37" s="33"/>
      <c r="K37" s="33" t="s">
        <v>245</v>
      </c>
      <c r="L37" s="33"/>
      <c r="M37" s="45" t="str">
        <f>IF(L37="Compliant",1,IF(L37="Partially Compliant",0.5,IF(L37="Non-Compliant",0,"")))</f>
        <v/>
      </c>
      <c r="N37" s="33"/>
      <c r="O37" s="33"/>
      <c r="P37" s="33"/>
      <c r="Q37" s="31"/>
    </row>
    <row r="38" spans="8:8" ht="35.05">
      <c r="A38" s="30" t="s">
        <v>410</v>
      </c>
      <c r="B38" s="30" t="s">
        <v>152</v>
      </c>
      <c r="C38" s="30" t="s">
        <v>153</v>
      </c>
      <c r="D38" s="30" t="s">
        <v>154</v>
      </c>
      <c r="E38" s="30" t="s">
        <v>155</v>
      </c>
      <c r="F38" s="30" t="s">
        <v>156</v>
      </c>
      <c r="G38" s="33" t="s">
        <v>30</v>
      </c>
      <c r="H38" s="44">
        <f>$K$5</f>
        <v>46328.0</v>
      </c>
      <c r="I38" s="44">
        <f>$K$6</f>
        <v>46339.0</v>
      </c>
      <c r="J38" s="33"/>
      <c r="K38" s="33" t="s">
        <v>245</v>
      </c>
      <c r="L38" s="33"/>
      <c r="M38" s="45" t="str">
        <f>IF(L38="Compliant",1,IF(L38="Partially Compliant",0.5,IF(L38="Non-Compliant",0,"")))</f>
        <v/>
      </c>
      <c r="N38" s="33"/>
      <c r="O38" s="33"/>
      <c r="P38" s="33"/>
      <c r="Q38" s="31"/>
    </row>
    <row r="39" spans="8:8" ht="35.05">
      <c r="A39" s="30" t="s">
        <v>411</v>
      </c>
      <c r="B39" s="30" t="s">
        <v>157</v>
      </c>
      <c r="C39" s="30" t="s">
        <v>158</v>
      </c>
      <c r="D39" s="30" t="s">
        <v>159</v>
      </c>
      <c r="E39" s="30" t="s">
        <v>160</v>
      </c>
      <c r="F39" s="30" t="s">
        <v>161</v>
      </c>
      <c r="G39" s="33" t="s">
        <v>30</v>
      </c>
      <c r="H39" s="44">
        <f>$K$5</f>
        <v>46328.0</v>
      </c>
      <c r="I39" s="44">
        <f>$K$6</f>
        <v>46339.0</v>
      </c>
      <c r="J39" s="33"/>
      <c r="K39" s="33" t="s">
        <v>245</v>
      </c>
      <c r="L39" s="33"/>
      <c r="M39" s="45" t="str">
        <f>IF(L39="Compliant",1,IF(L39="Partially Compliant",0.5,IF(L39="Non-Compliant",0,"")))</f>
        <v/>
      </c>
      <c r="N39" s="33"/>
      <c r="O39" s="33"/>
      <c r="P39" s="33"/>
      <c r="Q39" s="31"/>
    </row>
    <row r="40" spans="8:8" ht="35.05">
      <c r="A40" s="30" t="s">
        <v>412</v>
      </c>
      <c r="B40" s="30" t="s">
        <v>162</v>
      </c>
      <c r="C40" s="30" t="s">
        <v>163</v>
      </c>
      <c r="D40" s="30" t="s">
        <v>164</v>
      </c>
      <c r="E40" s="30" t="s">
        <v>413</v>
      </c>
      <c r="F40" s="30" t="s">
        <v>166</v>
      </c>
      <c r="G40" s="33" t="s">
        <v>30</v>
      </c>
      <c r="H40" s="44">
        <f>$K$5</f>
        <v>46328.0</v>
      </c>
      <c r="I40" s="44">
        <f>$K$6</f>
        <v>46339.0</v>
      </c>
      <c r="J40" s="33"/>
      <c r="K40" s="33" t="s">
        <v>245</v>
      </c>
      <c r="L40" s="33"/>
      <c r="M40" s="45" t="str">
        <f>IF(L40="Compliant",1,IF(L40="Partially Compliant",0.5,IF(L40="Non-Compliant",0,"")))</f>
        <v/>
      </c>
      <c r="N40" s="33"/>
      <c r="O40" s="33"/>
      <c r="P40" s="33"/>
      <c r="Q40" s="31"/>
    </row>
    <row r="41" spans="8:8" ht="35.05">
      <c r="A41" s="30" t="s">
        <v>414</v>
      </c>
      <c r="B41" s="30" t="s">
        <v>167</v>
      </c>
      <c r="C41" s="30" t="s">
        <v>168</v>
      </c>
      <c r="D41" s="30" t="s">
        <v>169</v>
      </c>
      <c r="E41" s="30" t="s">
        <v>415</v>
      </c>
      <c r="F41" s="30" t="s">
        <v>171</v>
      </c>
      <c r="G41" s="33" t="s">
        <v>30</v>
      </c>
      <c r="H41" s="44">
        <f>$K$5</f>
        <v>46328.0</v>
      </c>
      <c r="I41" s="44">
        <f>$K$6</f>
        <v>46339.0</v>
      </c>
      <c r="J41" s="33"/>
      <c r="K41" s="33" t="s">
        <v>245</v>
      </c>
      <c r="L41" s="33"/>
      <c r="M41" s="45" t="str">
        <f>IF(L41="Compliant",1,IF(L41="Partially Compliant",0.5,IF(L41="Non-Compliant",0,"")))</f>
        <v/>
      </c>
      <c r="N41" s="33"/>
      <c r="O41" s="33"/>
      <c r="P41" s="33"/>
      <c r="Q41" s="31"/>
    </row>
    <row r="42" spans="8:8" ht="35.05">
      <c r="A42" s="30" t="s">
        <v>416</v>
      </c>
      <c r="B42" s="30" t="s">
        <v>172</v>
      </c>
      <c r="C42" s="30" t="s">
        <v>173</v>
      </c>
      <c r="D42" s="30" t="s">
        <v>174</v>
      </c>
      <c r="E42" s="30" t="s">
        <v>175</v>
      </c>
      <c r="F42" s="30" t="s">
        <v>176</v>
      </c>
      <c r="G42" s="33" t="s">
        <v>30</v>
      </c>
      <c r="H42" s="44">
        <f>$K$5</f>
        <v>46328.0</v>
      </c>
      <c r="I42" s="44">
        <f>$K$6</f>
        <v>46339.0</v>
      </c>
      <c r="J42" s="33"/>
      <c r="K42" s="33" t="s">
        <v>245</v>
      </c>
      <c r="L42" s="33"/>
      <c r="M42" s="45" t="str">
        <f>IF(L42="Compliant",1,IF(L42="Partially Compliant",0.5,IF(L42="Non-Compliant",0,"")))</f>
        <v/>
      </c>
      <c r="N42" s="33"/>
      <c r="O42" s="33"/>
      <c r="P42" s="33"/>
      <c r="Q42" s="31"/>
    </row>
    <row r="43" spans="8:8" ht="46.25">
      <c r="A43" s="30" t="s">
        <v>417</v>
      </c>
      <c r="B43" s="30" t="s">
        <v>177</v>
      </c>
      <c r="C43" s="30" t="s">
        <v>178</v>
      </c>
      <c r="D43" s="30" t="s">
        <v>418</v>
      </c>
      <c r="E43" s="30" t="s">
        <v>419</v>
      </c>
      <c r="F43" s="30" t="s">
        <v>181</v>
      </c>
      <c r="G43" s="33" t="s">
        <v>30</v>
      </c>
      <c r="H43" s="44">
        <f>$K$5</f>
        <v>46328.0</v>
      </c>
      <c r="I43" s="44">
        <f>$K$6</f>
        <v>46339.0</v>
      </c>
      <c r="J43" s="33"/>
      <c r="K43" s="33" t="s">
        <v>245</v>
      </c>
      <c r="L43" s="33"/>
      <c r="M43" s="45" t="str">
        <f>IF(L43="Compliant",1,IF(L43="Partially Compliant",0.5,IF(L43="Non-Compliant",0,"")))</f>
        <v/>
      </c>
      <c r="N43" s="33"/>
      <c r="O43" s="33"/>
      <c r="P43" s="33"/>
      <c r="Q43" s="31"/>
    </row>
    <row r="44" spans="8:8" ht="35.05">
      <c r="A44" s="30" t="s">
        <v>420</v>
      </c>
      <c r="B44" s="30" t="s">
        <v>182</v>
      </c>
      <c r="C44" s="30" t="s">
        <v>183</v>
      </c>
      <c r="D44" s="30" t="s">
        <v>184</v>
      </c>
      <c r="E44" s="30" t="s">
        <v>421</v>
      </c>
      <c r="F44" s="30" t="s">
        <v>186</v>
      </c>
      <c r="G44" s="33" t="s">
        <v>30</v>
      </c>
      <c r="H44" s="44">
        <f>$K$5</f>
        <v>46328.0</v>
      </c>
      <c r="I44" s="44">
        <f>$K$6</f>
        <v>46339.0</v>
      </c>
      <c r="J44" s="33"/>
      <c r="K44" s="33" t="s">
        <v>245</v>
      </c>
      <c r="L44" s="33"/>
      <c r="M44" s="45" t="str">
        <f>IF(L44="Compliant",1,IF(L44="Partially Compliant",0.5,IF(L44="Non-Compliant",0,"")))</f>
        <v/>
      </c>
      <c r="N44" s="33"/>
      <c r="O44" s="33"/>
      <c r="P44" s="33"/>
      <c r="Q44" s="31"/>
    </row>
    <row r="45" spans="8:8" ht="35.05">
      <c r="A45" s="30" t="s">
        <v>422</v>
      </c>
      <c r="B45" s="30" t="s">
        <v>187</v>
      </c>
      <c r="C45" s="30" t="s">
        <v>188</v>
      </c>
      <c r="D45" s="30" t="s">
        <v>189</v>
      </c>
      <c r="E45" s="30" t="s">
        <v>423</v>
      </c>
      <c r="F45" s="30" t="s">
        <v>191</v>
      </c>
      <c r="G45" s="33" t="s">
        <v>30</v>
      </c>
      <c r="H45" s="44">
        <f>$K$5</f>
        <v>46328.0</v>
      </c>
      <c r="I45" s="44">
        <f>$K$6</f>
        <v>46339.0</v>
      </c>
      <c r="J45" s="33"/>
      <c r="K45" s="33" t="s">
        <v>245</v>
      </c>
      <c r="L45" s="33"/>
      <c r="M45" s="45" t="str">
        <f>IF(L45="Compliant",1,IF(L45="Partially Compliant",0.5,IF(L45="Non-Compliant",0,"")))</f>
        <v/>
      </c>
      <c r="N45" s="33"/>
      <c r="O45" s="33"/>
      <c r="P45" s="33"/>
      <c r="Q45" s="31"/>
    </row>
    <row r="46" spans="8:8" ht="35.05">
      <c r="A46" s="30" t="s">
        <v>424</v>
      </c>
      <c r="B46" s="30" t="s">
        <v>192</v>
      </c>
      <c r="C46" s="30" t="s">
        <v>193</v>
      </c>
      <c r="D46" s="30" t="s">
        <v>194</v>
      </c>
      <c r="E46" s="30" t="s">
        <v>425</v>
      </c>
      <c r="F46" s="30" t="s">
        <v>196</v>
      </c>
      <c r="G46" s="33" t="s">
        <v>30</v>
      </c>
      <c r="H46" s="44">
        <f>$K$5</f>
        <v>46328.0</v>
      </c>
      <c r="I46" s="44">
        <f>$K$6</f>
        <v>46339.0</v>
      </c>
      <c r="J46" s="33"/>
      <c r="K46" s="33" t="s">
        <v>245</v>
      </c>
      <c r="L46" s="33"/>
      <c r="M46" s="45" t="str">
        <f>IF(L46="Compliant",1,IF(L46="Partially Compliant",0.5,IF(L46="Non-Compliant",0,"")))</f>
        <v/>
      </c>
      <c r="N46" s="33"/>
      <c r="O46" s="33"/>
      <c r="P46" s="33"/>
      <c r="Q46" s="31"/>
    </row>
    <row r="47" spans="8:8" ht="35.05">
      <c r="A47" s="30" t="s">
        <v>426</v>
      </c>
      <c r="B47" s="30" t="s">
        <v>197</v>
      </c>
      <c r="C47" s="30" t="s">
        <v>198</v>
      </c>
      <c r="D47" s="30" t="s">
        <v>199</v>
      </c>
      <c r="E47" s="30" t="s">
        <v>427</v>
      </c>
      <c r="F47" s="30" t="s">
        <v>201</v>
      </c>
      <c r="G47" s="33" t="s">
        <v>30</v>
      </c>
      <c r="H47" s="44">
        <f>$K$5</f>
        <v>46328.0</v>
      </c>
      <c r="I47" s="44">
        <f>$K$6</f>
        <v>46339.0</v>
      </c>
      <c r="J47" s="33"/>
      <c r="K47" s="33" t="s">
        <v>245</v>
      </c>
      <c r="L47" s="33"/>
      <c r="M47" s="45" t="str">
        <f>IF(L47="Compliant",1,IF(L47="Partially Compliant",0.5,IF(L47="Non-Compliant",0,"")))</f>
        <v/>
      </c>
      <c r="N47" s="33"/>
      <c r="O47" s="33"/>
      <c r="P47" s="33"/>
      <c r="Q47" s="31"/>
    </row>
    <row r="48" spans="8:8" ht="35.05">
      <c r="A48" s="30" t="s">
        <v>428</v>
      </c>
      <c r="B48" s="30" t="s">
        <v>202</v>
      </c>
      <c r="C48" s="30" t="s">
        <v>203</v>
      </c>
      <c r="D48" s="30" t="s">
        <v>204</v>
      </c>
      <c r="E48" s="30" t="s">
        <v>205</v>
      </c>
      <c r="F48" s="30" t="s">
        <v>206</v>
      </c>
      <c r="G48" s="33" t="s">
        <v>207</v>
      </c>
      <c r="H48" s="44">
        <f>$K$5</f>
        <v>46328.0</v>
      </c>
      <c r="I48" s="44">
        <f>$K$6</f>
        <v>46339.0</v>
      </c>
      <c r="J48" s="33"/>
      <c r="K48" s="33" t="s">
        <v>245</v>
      </c>
      <c r="L48" s="33"/>
      <c r="M48" s="45" t="str">
        <f>IF(L48="Compliant",1,IF(L48="Partially Compliant",0.5,IF(L48="Non-Compliant",0,"")))</f>
        <v/>
      </c>
      <c r="N48" s="33"/>
      <c r="O48" s="33"/>
      <c r="P48" s="33"/>
      <c r="Q48" s="31"/>
    </row>
    <row r="49" spans="8:8" ht="35.05">
      <c r="A49" s="30" t="s">
        <v>429</v>
      </c>
      <c r="B49" s="30" t="s">
        <v>208</v>
      </c>
      <c r="C49" s="30" t="s">
        <v>209</v>
      </c>
      <c r="D49" s="30" t="s">
        <v>210</v>
      </c>
      <c r="E49" s="30" t="s">
        <v>430</v>
      </c>
      <c r="F49" s="30" t="s">
        <v>212</v>
      </c>
      <c r="G49" s="33" t="s">
        <v>207</v>
      </c>
      <c r="H49" s="44">
        <f>$K$5</f>
        <v>46328.0</v>
      </c>
      <c r="I49" s="44">
        <f>$K$6</f>
        <v>46339.0</v>
      </c>
      <c r="J49" s="33"/>
      <c r="K49" s="33" t="s">
        <v>245</v>
      </c>
      <c r="L49" s="33"/>
      <c r="M49" s="45" t="str">
        <f>IF(L49="Compliant",1,IF(L49="Partially Compliant",0.5,IF(L49="Non-Compliant",0,"")))</f>
        <v/>
      </c>
      <c r="N49" s="33"/>
      <c r="O49" s="33"/>
      <c r="P49" s="33"/>
      <c r="Q49" s="31"/>
    </row>
    <row r="50" spans="8:8" ht="23.85">
      <c r="A50" s="30" t="s">
        <v>431</v>
      </c>
      <c r="B50" s="30" t="s">
        <v>213</v>
      </c>
      <c r="C50" s="30" t="s">
        <v>214</v>
      </c>
      <c r="D50" s="30" t="s">
        <v>215</v>
      </c>
      <c r="E50" s="30" t="s">
        <v>432</v>
      </c>
      <c r="F50" s="30" t="s">
        <v>217</v>
      </c>
      <c r="G50" s="33" t="s">
        <v>207</v>
      </c>
      <c r="H50" s="44">
        <f>$K$5</f>
        <v>46328.0</v>
      </c>
      <c r="I50" s="44">
        <f>$K$6</f>
        <v>46339.0</v>
      </c>
      <c r="J50" s="33"/>
      <c r="K50" s="33" t="s">
        <v>245</v>
      </c>
      <c r="L50" s="33"/>
      <c r="M50" s="45" t="str">
        <f>IF(L50="Compliant",1,IF(L50="Partially Compliant",0.5,IF(L50="Non-Compliant",0,"")))</f>
        <v/>
      </c>
      <c r="N50" s="33"/>
      <c r="O50" s="33"/>
      <c r="P50" s="33"/>
      <c r="Q50" s="31"/>
    </row>
    <row r="51" spans="8:8" ht="35.05">
      <c r="A51" s="30" t="s">
        <v>433</v>
      </c>
      <c r="B51" s="30" t="s">
        <v>218</v>
      </c>
      <c r="C51" s="30" t="s">
        <v>219</v>
      </c>
      <c r="D51" s="30" t="s">
        <v>220</v>
      </c>
      <c r="E51" s="30" t="s">
        <v>434</v>
      </c>
      <c r="F51" s="30" t="s">
        <v>222</v>
      </c>
      <c r="G51" s="33" t="s">
        <v>30</v>
      </c>
      <c r="H51" s="44">
        <f>$K$5</f>
        <v>46328.0</v>
      </c>
      <c r="I51" s="44">
        <f>$K$6</f>
        <v>46339.0</v>
      </c>
      <c r="J51" s="33"/>
      <c r="K51" s="33" t="s">
        <v>245</v>
      </c>
      <c r="L51" s="33"/>
      <c r="M51" s="45" t="str">
        <f>IF(L51="Compliant",1,IF(L51="Partially Compliant",0.5,IF(L51="Non-Compliant",0,"")))</f>
        <v/>
      </c>
      <c r="N51" s="33"/>
      <c r="O51" s="33"/>
      <c r="P51" s="33"/>
      <c r="Q51" s="31"/>
    </row>
    <row r="52" spans="8:8" ht="35.05">
      <c r="A52" s="30" t="s">
        <v>435</v>
      </c>
      <c r="B52" s="30" t="s">
        <v>223</v>
      </c>
      <c r="C52" s="30" t="s">
        <v>224</v>
      </c>
      <c r="D52" s="30" t="s">
        <v>225</v>
      </c>
      <c r="E52" s="30" t="s">
        <v>436</v>
      </c>
      <c r="F52" s="30" t="s">
        <v>227</v>
      </c>
      <c r="G52" s="33" t="s">
        <v>207</v>
      </c>
      <c r="H52" s="44">
        <f>$K$5</f>
        <v>46328.0</v>
      </c>
      <c r="I52" s="44">
        <f>$K$6</f>
        <v>46339.0</v>
      </c>
      <c r="J52" s="33"/>
      <c r="K52" s="33" t="s">
        <v>245</v>
      </c>
      <c r="L52" s="33"/>
      <c r="M52" s="45" t="str">
        <f>IF(L52="Compliant",1,IF(L52="Partially Compliant",0.5,IF(L52="Non-Compliant",0,"")))</f>
        <v/>
      </c>
      <c r="N52" s="33"/>
      <c r="O52" s="33"/>
      <c r="P52" s="33"/>
      <c r="Q52" s="31"/>
    </row>
    <row r="53" spans="8:8" ht="35.05">
      <c r="A53" s="30" t="s">
        <v>437</v>
      </c>
      <c r="B53" s="30" t="s">
        <v>228</v>
      </c>
      <c r="C53" s="30" t="s">
        <v>229</v>
      </c>
      <c r="D53" s="30" t="s">
        <v>230</v>
      </c>
      <c r="E53" s="30" t="s">
        <v>438</v>
      </c>
      <c r="F53" s="30" t="s">
        <v>232</v>
      </c>
      <c r="G53" s="33" t="s">
        <v>30</v>
      </c>
      <c r="H53" s="44">
        <f>$K$5</f>
        <v>46328.0</v>
      </c>
      <c r="I53" s="44">
        <f>$K$6</f>
        <v>46339.0</v>
      </c>
      <c r="J53" s="33"/>
      <c r="K53" s="33" t="s">
        <v>245</v>
      </c>
      <c r="L53" s="33"/>
      <c r="M53" s="45" t="str">
        <f>IF(L53="Compliant",1,IF(L53="Partially Compliant",0.5,IF(L53="Non-Compliant",0,"")))</f>
        <v/>
      </c>
      <c r="N53" s="33"/>
      <c r="O53" s="33"/>
      <c r="P53" s="33"/>
      <c r="Q53" s="31"/>
    </row>
    <row r="55" spans="8:8" ht="15.0">
      <c r="A55" s="27" t="s">
        <v>439</v>
      </c>
    </row>
  </sheetData>
  <autoFilter ref="A14:Q53">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53">
    <cfRule type="cellIs" operator="equal" priority="2" dxfId="3">
      <formula>"Compliant"</formula>
    </cfRule>
    <cfRule type="cellIs" operator="equal" priority="4" dxfId="4">
      <formula>"Non-Compliant"</formula>
    </cfRule>
    <cfRule type="cellIs" operator="equal" priority="3" dxfId="5">
      <formula>"Partially Compliant"</formula>
    </cfRule>
  </conditionalFormatting>
  <conditionalFormatting sqref="G15:G53">
    <cfRule type="cellIs" operator="equal" priority="5" dxfId="6">
      <formula>"High"</formula>
    </cfRule>
  </conditionalFormatting>
  <dataValidations count="4">
    <dataValidation allowBlank="1" type="list" errorStyle="stop" sqref="G15:G53">
      <formula1>"High,Medium,Low"</formula1>
      <formula2>0</formula2>
    </dataValidation>
    <dataValidation allowBlank="1" type="list" errorStyle="stop" sqref="K15:K53">
      <formula1>"Not Started,In Progress,Fieldwork Done,Reported,Completed"</formula1>
      <formula2>0</formula2>
    </dataValidation>
    <dataValidation allowBlank="1" type="list" errorStyle="stop" sqref="L15:L53">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6.xml><?xml version="1.0" encoding="utf-8"?>
<worksheet xmlns:r="http://schemas.openxmlformats.org/officeDocument/2006/relationships" xmlns="http://schemas.openxmlformats.org/spreadsheetml/2006/main">
  <sheetPr>
    <tabColor rgb="FF2E75B6"/>
    <pageSetUpPr fitToPage="1"/>
  </sheetPr>
  <dimension ref="A1:R44"/>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440</v>
      </c>
      <c r="N1" s="34" t="s">
        <v>277</v>
      </c>
    </row>
    <row r="2" spans="8:8" ht="15.0">
      <c r="A2" s="12" t="s">
        <v>278</v>
      </c>
    </row>
    <row r="4" spans="8:8" ht="15.75" customHeight="1">
      <c r="A4" s="35" t="s">
        <v>59</v>
      </c>
      <c r="B4" s="35"/>
      <c r="C4" s="36" t="s">
        <v>71</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COUNTA(A15:A42)</f>
        <v>28.0</v>
      </c>
    </row>
    <row r="8" spans="8:8" ht="15.75" customHeight="1">
      <c r="A8" s="35" t="s">
        <v>285</v>
      </c>
      <c r="B8" s="35"/>
      <c r="C8" s="36" t="s">
        <v>441</v>
      </c>
      <c r="D8" s="36"/>
      <c r="E8" s="36"/>
      <c r="F8" s="36"/>
      <c r="H8" s="35" t="s">
        <v>34</v>
      </c>
      <c r="I8" s="35"/>
      <c r="J8" s="35"/>
      <c r="K8" s="40">
        <f>COUNTIF(K15:K42,"Completed")</f>
        <v>0.0</v>
      </c>
    </row>
    <row r="9" spans="8:8" ht="15.75" customHeight="1">
      <c r="A9" s="35" t="s">
        <v>287</v>
      </c>
      <c r="B9" s="35"/>
      <c r="C9" s="36" t="s">
        <v>442</v>
      </c>
      <c r="D9" s="36"/>
      <c r="E9" s="36"/>
      <c r="F9" s="36"/>
      <c r="H9" s="35" t="s">
        <v>64</v>
      </c>
      <c r="I9" s="35"/>
      <c r="J9" s="35"/>
      <c r="K9" s="40">
        <f>COUNTIF(L15:L42,"Compliant")</f>
        <v>0.0</v>
      </c>
    </row>
    <row r="10" spans="8:8" ht="27.75" customHeight="1">
      <c r="A10" s="35" t="s">
        <v>289</v>
      </c>
      <c r="B10" s="35"/>
      <c r="C10" s="36" t="s">
        <v>443</v>
      </c>
      <c r="D10" s="36"/>
      <c r="E10" s="36"/>
      <c r="F10" s="36"/>
      <c r="H10" s="35" t="s">
        <v>36</v>
      </c>
      <c r="I10" s="35"/>
      <c r="J10" s="35"/>
      <c r="K10" s="40">
        <f>COUNTIF(L15:L42,"Partially Compliant")</f>
        <v>0.0</v>
      </c>
    </row>
    <row r="11" spans="8:8" ht="15.75" customHeight="1">
      <c r="A11" s="35" t="s">
        <v>291</v>
      </c>
      <c r="B11" s="35"/>
      <c r="C11" s="39" t="s">
        <v>30</v>
      </c>
      <c r="D11" s="39"/>
      <c r="E11" s="39"/>
      <c r="F11" s="39"/>
      <c r="H11" s="35" t="s">
        <v>49</v>
      </c>
      <c r="I11" s="35"/>
      <c r="J11" s="35"/>
      <c r="K11" s="40">
        <f>COUNTIF(L15:L42,"Non-Compliant")</f>
        <v>0.0</v>
      </c>
    </row>
    <row r="12" spans="8:8" ht="15.0">
      <c r="H12" s="35" t="s">
        <v>292</v>
      </c>
      <c r="I12" s="35"/>
      <c r="J12" s="35"/>
      <c r="K12" s="40">
        <f>COUNTIF(L15:L42,"Not Applicable")</f>
        <v>0.0</v>
      </c>
    </row>
    <row r="13" spans="8:8" ht="15.0">
      <c r="H13" s="35" t="s">
        <v>293</v>
      </c>
      <c r="I13" s="35"/>
      <c r="J13" s="35"/>
      <c r="K13" s="41" t="str">
        <f>_xlfn.IFERROR(AVERAGE(M15:M42),"")</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444</v>
      </c>
      <c r="B15" s="30" t="s">
        <v>122</v>
      </c>
      <c r="C15" s="30" t="s">
        <v>123</v>
      </c>
      <c r="D15" s="30" t="s">
        <v>124</v>
      </c>
      <c r="E15" s="30" t="s">
        <v>445</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446</v>
      </c>
      <c r="B16" s="30" t="s">
        <v>127</v>
      </c>
      <c r="C16" s="30" t="s">
        <v>128</v>
      </c>
      <c r="D16" s="30" t="s">
        <v>129</v>
      </c>
      <c r="E16" s="30" t="s">
        <v>447</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448</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449</v>
      </c>
      <c r="B18" s="30" t="s">
        <v>28</v>
      </c>
      <c r="C18" s="30" t="s">
        <v>137</v>
      </c>
      <c r="D18" s="30" t="s">
        <v>138</v>
      </c>
      <c r="E18" s="30" t="s">
        <v>450</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451</v>
      </c>
      <c r="B19" s="30" t="s">
        <v>141</v>
      </c>
      <c r="C19" s="30" t="s">
        <v>142</v>
      </c>
      <c r="D19" s="30" t="s">
        <v>143</v>
      </c>
      <c r="E19" s="30" t="s">
        <v>452</v>
      </c>
      <c r="F19" s="30" t="s">
        <v>145</v>
      </c>
      <c r="G19" s="33" t="s">
        <v>30</v>
      </c>
      <c r="H19" s="44">
        <f>$K$5</f>
        <v>46342.0</v>
      </c>
      <c r="I19" s="44">
        <f>$K$6</f>
        <v>46367.0</v>
      </c>
      <c r="J19" s="33"/>
      <c r="K19" s="33" t="s">
        <v>245</v>
      </c>
      <c r="L19" s="33"/>
      <c r="M19" s="45" t="str">
        <f>IF(L19="Compliant",1,IF(L19="Partially Compliant",0.5,IF(L19="Non-Compliant",0,"")))</f>
        <v/>
      </c>
      <c r="N19" s="33"/>
      <c r="O19" s="33"/>
      <c r="P19" s="33"/>
      <c r="Q19" s="31"/>
    </row>
    <row r="20" spans="8:8" ht="57.45">
      <c r="A20" s="30" t="s">
        <v>453</v>
      </c>
      <c r="B20" s="30" t="s">
        <v>147</v>
      </c>
      <c r="C20" s="30" t="s">
        <v>148</v>
      </c>
      <c r="D20" s="30" t="s">
        <v>149</v>
      </c>
      <c r="E20" s="30" t="s">
        <v>454</v>
      </c>
      <c r="F20" s="30" t="s">
        <v>151</v>
      </c>
      <c r="G20" s="33" t="s">
        <v>30</v>
      </c>
      <c r="H20" s="44">
        <f>$K$5</f>
        <v>46342.0</v>
      </c>
      <c r="I20" s="44">
        <f>$K$6</f>
        <v>46367.0</v>
      </c>
      <c r="J20" s="33"/>
      <c r="K20" s="33" t="s">
        <v>245</v>
      </c>
      <c r="L20" s="33"/>
      <c r="M20" s="45" t="str">
        <f>IF(L20="Compliant",1,IF(L20="Partially Compliant",0.5,IF(L20="Non-Compliant",0,"")))</f>
        <v/>
      </c>
      <c r="N20" s="33"/>
      <c r="O20" s="33"/>
      <c r="P20" s="33"/>
      <c r="Q20" s="31"/>
    </row>
    <row r="21" spans="8:8" ht="35.05">
      <c r="A21" s="30" t="s">
        <v>455</v>
      </c>
      <c r="B21" s="30" t="s">
        <v>152</v>
      </c>
      <c r="C21" s="30" t="s">
        <v>153</v>
      </c>
      <c r="D21" s="30" t="s">
        <v>154</v>
      </c>
      <c r="E21" s="30" t="s">
        <v>155</v>
      </c>
      <c r="F21" s="30" t="s">
        <v>156</v>
      </c>
      <c r="G21" s="33" t="s">
        <v>30</v>
      </c>
      <c r="H21" s="44">
        <f>$K$5</f>
        <v>46342.0</v>
      </c>
      <c r="I21" s="44">
        <f>$K$6</f>
        <v>46367.0</v>
      </c>
      <c r="J21" s="33"/>
      <c r="K21" s="33" t="s">
        <v>245</v>
      </c>
      <c r="L21" s="33"/>
      <c r="M21" s="45" t="str">
        <f>IF(L21="Compliant",1,IF(L21="Partially Compliant",0.5,IF(L21="Non-Compliant",0,"")))</f>
        <v/>
      </c>
      <c r="N21" s="33"/>
      <c r="O21" s="33"/>
      <c r="P21" s="33"/>
      <c r="Q21" s="31"/>
    </row>
    <row r="22" spans="8:8" ht="35.05">
      <c r="A22" s="30" t="s">
        <v>456</v>
      </c>
      <c r="B22" s="30" t="s">
        <v>157</v>
      </c>
      <c r="C22" s="30" t="s">
        <v>158</v>
      </c>
      <c r="D22" s="30" t="s">
        <v>159</v>
      </c>
      <c r="E22" s="30" t="s">
        <v>160</v>
      </c>
      <c r="F22" s="30" t="s">
        <v>161</v>
      </c>
      <c r="G22" s="33" t="s">
        <v>30</v>
      </c>
      <c r="H22" s="44">
        <f>$K$5</f>
        <v>46342.0</v>
      </c>
      <c r="I22" s="44">
        <f>$K$6</f>
        <v>46367.0</v>
      </c>
      <c r="J22" s="33"/>
      <c r="K22" s="33" t="s">
        <v>245</v>
      </c>
      <c r="L22" s="33"/>
      <c r="M22" s="45" t="str">
        <f>IF(L22="Compliant",1,IF(L22="Partially Compliant",0.5,IF(L22="Non-Compliant",0,"")))</f>
        <v/>
      </c>
      <c r="N22" s="33"/>
      <c r="O22" s="33"/>
      <c r="P22" s="33"/>
      <c r="Q22" s="31"/>
    </row>
    <row r="23" spans="8:8" ht="35.05">
      <c r="A23" s="30" t="s">
        <v>457</v>
      </c>
      <c r="B23" s="30" t="s">
        <v>162</v>
      </c>
      <c r="C23" s="30" t="s">
        <v>163</v>
      </c>
      <c r="D23" s="30" t="s">
        <v>164</v>
      </c>
      <c r="E23" s="30" t="s">
        <v>458</v>
      </c>
      <c r="F23" s="30" t="s">
        <v>166</v>
      </c>
      <c r="G23" s="33" t="s">
        <v>30</v>
      </c>
      <c r="H23" s="44">
        <f>$K$5</f>
        <v>46342.0</v>
      </c>
      <c r="I23" s="44">
        <f>$K$6</f>
        <v>46367.0</v>
      </c>
      <c r="J23" s="33"/>
      <c r="K23" s="33" t="s">
        <v>245</v>
      </c>
      <c r="L23" s="33"/>
      <c r="M23" s="45" t="str">
        <f>IF(L23="Compliant",1,IF(L23="Partially Compliant",0.5,IF(L23="Non-Compliant",0,"")))</f>
        <v/>
      </c>
      <c r="N23" s="33"/>
      <c r="O23" s="33"/>
      <c r="P23" s="33"/>
      <c r="Q23" s="31"/>
    </row>
    <row r="24" spans="8:8" ht="35.05">
      <c r="A24" s="30" t="s">
        <v>459</v>
      </c>
      <c r="B24" s="30" t="s">
        <v>167</v>
      </c>
      <c r="C24" s="30" t="s">
        <v>168</v>
      </c>
      <c r="D24" s="30" t="s">
        <v>169</v>
      </c>
      <c r="E24" s="30" t="s">
        <v>460</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461</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46.25">
      <c r="A26" s="30" t="s">
        <v>462</v>
      </c>
      <c r="B26" s="30" t="s">
        <v>177</v>
      </c>
      <c r="C26" s="30" t="s">
        <v>178</v>
      </c>
      <c r="D26" s="30" t="s">
        <v>463</v>
      </c>
      <c r="E26" s="30" t="s">
        <v>464</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465</v>
      </c>
      <c r="B27" s="30" t="s">
        <v>182</v>
      </c>
      <c r="C27" s="30" t="s">
        <v>183</v>
      </c>
      <c r="D27" s="30" t="s">
        <v>184</v>
      </c>
      <c r="E27" s="30" t="s">
        <v>466</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46.25">
      <c r="A28" s="30" t="s">
        <v>467</v>
      </c>
      <c r="B28" s="30" t="s">
        <v>187</v>
      </c>
      <c r="C28" s="30" t="s">
        <v>188</v>
      </c>
      <c r="D28" s="30" t="s">
        <v>189</v>
      </c>
      <c r="E28" s="30" t="s">
        <v>468</v>
      </c>
      <c r="F28" s="30" t="s">
        <v>191</v>
      </c>
      <c r="G28" s="33" t="s">
        <v>30</v>
      </c>
      <c r="H28" s="44">
        <f>$K$5</f>
        <v>46342.0</v>
      </c>
      <c r="I28" s="44">
        <f>$K$6</f>
        <v>46367.0</v>
      </c>
      <c r="J28" s="33"/>
      <c r="K28" s="33" t="s">
        <v>245</v>
      </c>
      <c r="L28" s="33"/>
      <c r="M28" s="45" t="str">
        <f>IF(L28="Compliant",1,IF(L28="Partially Compliant",0.5,IF(L28="Non-Compliant",0,"")))</f>
        <v/>
      </c>
      <c r="N28" s="33"/>
      <c r="O28" s="33"/>
      <c r="P28" s="33"/>
      <c r="Q28" s="31"/>
    </row>
    <row r="29" spans="8:8" ht="35.05">
      <c r="A29" s="30" t="s">
        <v>469</v>
      </c>
      <c r="B29" s="30" t="s">
        <v>192</v>
      </c>
      <c r="C29" s="30" t="s">
        <v>193</v>
      </c>
      <c r="D29" s="30" t="s">
        <v>194</v>
      </c>
      <c r="E29" s="30" t="s">
        <v>470</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471</v>
      </c>
      <c r="B30" s="30" t="s">
        <v>197</v>
      </c>
      <c r="C30" s="30" t="s">
        <v>198</v>
      </c>
      <c r="D30" s="30" t="s">
        <v>199</v>
      </c>
      <c r="E30" s="30" t="s">
        <v>472</v>
      </c>
      <c r="F30" s="30" t="s">
        <v>201</v>
      </c>
      <c r="G30" s="33" t="s">
        <v>30</v>
      </c>
      <c r="H30" s="44">
        <f>$K$5</f>
        <v>46342.0</v>
      </c>
      <c r="I30" s="44">
        <f>$K$6</f>
        <v>46367.0</v>
      </c>
      <c r="J30" s="33"/>
      <c r="K30" s="33" t="s">
        <v>245</v>
      </c>
      <c r="L30" s="33"/>
      <c r="M30" s="45" t="str">
        <f>IF(L30="Compliant",1,IF(L30="Partially Compliant",0.5,IF(L30="Non-Compliant",0,"")))</f>
        <v/>
      </c>
      <c r="N30" s="33"/>
      <c r="O30" s="33"/>
      <c r="P30" s="33"/>
      <c r="Q30" s="31"/>
    </row>
    <row r="31" spans="8:8" ht="35.05">
      <c r="A31" s="30" t="s">
        <v>473</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35.05">
      <c r="A32" s="30" t="s">
        <v>474</v>
      </c>
      <c r="B32" s="30" t="s">
        <v>208</v>
      </c>
      <c r="C32" s="30" t="s">
        <v>209</v>
      </c>
      <c r="D32" s="30" t="s">
        <v>210</v>
      </c>
      <c r="E32" s="30" t="s">
        <v>475</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476</v>
      </c>
      <c r="B33" s="30" t="s">
        <v>213</v>
      </c>
      <c r="C33" s="30" t="s">
        <v>214</v>
      </c>
      <c r="D33" s="30" t="s">
        <v>215</v>
      </c>
      <c r="E33" s="30" t="s">
        <v>477</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35.05">
      <c r="A34" s="30" t="s">
        <v>478</v>
      </c>
      <c r="B34" s="30" t="s">
        <v>218</v>
      </c>
      <c r="C34" s="30" t="s">
        <v>219</v>
      </c>
      <c r="D34" s="30" t="s">
        <v>220</v>
      </c>
      <c r="E34" s="30" t="s">
        <v>479</v>
      </c>
      <c r="F34" s="30" t="s">
        <v>222</v>
      </c>
      <c r="G34" s="33" t="s">
        <v>30</v>
      </c>
      <c r="H34" s="44">
        <f>$K$5</f>
        <v>46342.0</v>
      </c>
      <c r="I34" s="44">
        <f>$K$6</f>
        <v>46367.0</v>
      </c>
      <c r="J34" s="33"/>
      <c r="K34" s="33" t="s">
        <v>245</v>
      </c>
      <c r="L34" s="33"/>
      <c r="M34" s="45" t="str">
        <f>IF(L34="Compliant",1,IF(L34="Partially Compliant",0.5,IF(L34="Non-Compliant",0,"")))</f>
        <v/>
      </c>
      <c r="N34" s="33"/>
      <c r="O34" s="33"/>
      <c r="P34" s="33"/>
      <c r="Q34" s="31"/>
    </row>
    <row r="35" spans="8:8" ht="35.05">
      <c r="A35" s="30" t="s">
        <v>480</v>
      </c>
      <c r="B35" s="30" t="s">
        <v>223</v>
      </c>
      <c r="C35" s="30" t="s">
        <v>224</v>
      </c>
      <c r="D35" s="30" t="s">
        <v>225</v>
      </c>
      <c r="E35" s="30" t="s">
        <v>481</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35.05">
      <c r="A36" s="30" t="s">
        <v>482</v>
      </c>
      <c r="B36" s="30" t="s">
        <v>228</v>
      </c>
      <c r="C36" s="30" t="s">
        <v>229</v>
      </c>
      <c r="D36" s="30" t="s">
        <v>230</v>
      </c>
      <c r="E36" s="30" t="s">
        <v>483</v>
      </c>
      <c r="F36" s="30" t="s">
        <v>232</v>
      </c>
      <c r="G36" s="33" t="s">
        <v>30</v>
      </c>
      <c r="H36" s="44">
        <f>$K$5</f>
        <v>46342.0</v>
      </c>
      <c r="I36" s="44">
        <f>$K$6</f>
        <v>46367.0</v>
      </c>
      <c r="J36" s="33"/>
      <c r="K36" s="33" t="s">
        <v>245</v>
      </c>
      <c r="L36" s="33"/>
      <c r="M36" s="45" t="str">
        <f>IF(L36="Compliant",1,IF(L36="Partially Compliant",0.5,IF(L36="Non-Compliant",0,"")))</f>
        <v/>
      </c>
      <c r="N36" s="33"/>
      <c r="O36" s="33"/>
      <c r="P36" s="33"/>
      <c r="Q36" s="31"/>
    </row>
    <row r="37" spans="8:8" ht="23.85">
      <c r="A37" s="30" t="s">
        <v>484</v>
      </c>
      <c r="B37" s="43" t="s">
        <v>485</v>
      </c>
      <c r="C37" s="30" t="s">
        <v>486</v>
      </c>
      <c r="D37" s="30" t="s">
        <v>487</v>
      </c>
      <c r="E37" s="30" t="s">
        <v>488</v>
      </c>
      <c r="F37" s="30" t="s">
        <v>489</v>
      </c>
      <c r="G37" s="33" t="s">
        <v>30</v>
      </c>
      <c r="H37" s="44">
        <f>$K$5</f>
        <v>46342.0</v>
      </c>
      <c r="I37" s="44">
        <f>$K$6</f>
        <v>46367.0</v>
      </c>
      <c r="J37" s="33"/>
      <c r="K37" s="33" t="s">
        <v>245</v>
      </c>
      <c r="L37" s="33"/>
      <c r="M37" s="45" t="str">
        <f>IF(L37="Compliant",1,IF(L37="Partially Compliant",0.5,IF(L37="Non-Compliant",0,"")))</f>
        <v/>
      </c>
      <c r="N37" s="33"/>
      <c r="O37" s="33"/>
      <c r="P37" s="33"/>
      <c r="Q37" s="31"/>
    </row>
    <row r="38" spans="8:8" ht="23.85">
      <c r="A38" s="30" t="s">
        <v>490</v>
      </c>
      <c r="B38" s="43" t="s">
        <v>491</v>
      </c>
      <c r="C38" s="30" t="s">
        <v>492</v>
      </c>
      <c r="D38" s="30" t="s">
        <v>493</v>
      </c>
      <c r="E38" s="30" t="s">
        <v>494</v>
      </c>
      <c r="F38" s="30" t="s">
        <v>495</v>
      </c>
      <c r="G38" s="33" t="s">
        <v>30</v>
      </c>
      <c r="H38" s="44">
        <f>$K$5</f>
        <v>46342.0</v>
      </c>
      <c r="I38" s="44">
        <f>$K$6</f>
        <v>46367.0</v>
      </c>
      <c r="J38" s="33"/>
      <c r="K38" s="33" t="s">
        <v>245</v>
      </c>
      <c r="L38" s="33"/>
      <c r="M38" s="45" t="str">
        <f>IF(L38="Compliant",1,IF(L38="Partially Compliant",0.5,IF(L38="Non-Compliant",0,"")))</f>
        <v/>
      </c>
      <c r="N38" s="33"/>
      <c r="O38" s="33"/>
      <c r="P38" s="33"/>
      <c r="Q38" s="31"/>
    </row>
    <row r="39" spans="8:8" ht="23.85">
      <c r="A39" s="30" t="s">
        <v>496</v>
      </c>
      <c r="B39" s="43" t="s">
        <v>497</v>
      </c>
      <c r="C39" s="30" t="s">
        <v>498</v>
      </c>
      <c r="D39" s="30" t="s">
        <v>499</v>
      </c>
      <c r="E39" s="30" t="s">
        <v>500</v>
      </c>
      <c r="F39" s="30" t="s">
        <v>501</v>
      </c>
      <c r="G39" s="33" t="s">
        <v>30</v>
      </c>
      <c r="H39" s="44">
        <f>$K$5</f>
        <v>46342.0</v>
      </c>
      <c r="I39" s="44">
        <f>$K$6</f>
        <v>46367.0</v>
      </c>
      <c r="J39" s="33"/>
      <c r="K39" s="33" t="s">
        <v>245</v>
      </c>
      <c r="L39" s="33"/>
      <c r="M39" s="45" t="str">
        <f>IF(L39="Compliant",1,IF(L39="Partially Compliant",0.5,IF(L39="Non-Compliant",0,"")))</f>
        <v/>
      </c>
      <c r="N39" s="33"/>
      <c r="O39" s="33"/>
      <c r="P39" s="33"/>
      <c r="Q39" s="31"/>
    </row>
    <row r="40" spans="8:8" ht="23.85">
      <c r="A40" s="30" t="s">
        <v>502</v>
      </c>
      <c r="B40" s="43" t="s">
        <v>503</v>
      </c>
      <c r="C40" s="30" t="s">
        <v>504</v>
      </c>
      <c r="D40" s="30" t="s">
        <v>505</v>
      </c>
      <c r="E40" s="30" t="s">
        <v>506</v>
      </c>
      <c r="F40" s="30" t="s">
        <v>507</v>
      </c>
      <c r="G40" s="33" t="s">
        <v>30</v>
      </c>
      <c r="H40" s="44">
        <f>$K$5</f>
        <v>46342.0</v>
      </c>
      <c r="I40" s="44">
        <f>$K$6</f>
        <v>46367.0</v>
      </c>
      <c r="J40" s="33"/>
      <c r="K40" s="33" t="s">
        <v>245</v>
      </c>
      <c r="L40" s="33"/>
      <c r="M40" s="45" t="str">
        <f>IF(L40="Compliant",1,IF(L40="Partially Compliant",0.5,IF(L40="Non-Compliant",0,"")))</f>
        <v/>
      </c>
      <c r="N40" s="33"/>
      <c r="O40" s="33"/>
      <c r="P40" s="33"/>
      <c r="Q40" s="31"/>
    </row>
    <row r="41" spans="8:8" ht="23.85">
      <c r="A41" s="30" t="s">
        <v>508</v>
      </c>
      <c r="B41" s="43" t="s">
        <v>509</v>
      </c>
      <c r="C41" s="30" t="s">
        <v>510</v>
      </c>
      <c r="D41" s="30" t="s">
        <v>511</v>
      </c>
      <c r="E41" s="30" t="s">
        <v>512</v>
      </c>
      <c r="F41" s="30" t="s">
        <v>513</v>
      </c>
      <c r="G41" s="33" t="s">
        <v>146</v>
      </c>
      <c r="H41" s="44">
        <f>$K$5</f>
        <v>46342.0</v>
      </c>
      <c r="I41" s="44">
        <f>$K$6</f>
        <v>46367.0</v>
      </c>
      <c r="J41" s="33"/>
      <c r="K41" s="33" t="s">
        <v>245</v>
      </c>
      <c r="L41" s="33"/>
      <c r="M41" s="45" t="str">
        <f>IF(L41="Compliant",1,IF(L41="Partially Compliant",0.5,IF(L41="Non-Compliant",0,"")))</f>
        <v/>
      </c>
      <c r="N41" s="33"/>
      <c r="O41" s="33"/>
      <c r="P41" s="33"/>
      <c r="Q41" s="31"/>
    </row>
    <row r="42" spans="8:8" ht="35.05">
      <c r="A42" s="30" t="s">
        <v>514</v>
      </c>
      <c r="B42" s="43" t="s">
        <v>515</v>
      </c>
      <c r="C42" s="30" t="s">
        <v>516</v>
      </c>
      <c r="D42" s="30" t="s">
        <v>517</v>
      </c>
      <c r="E42" s="30" t="s">
        <v>518</v>
      </c>
      <c r="F42" s="30" t="s">
        <v>519</v>
      </c>
      <c r="G42" s="33" t="s">
        <v>30</v>
      </c>
      <c r="H42" s="44">
        <f>$K$5</f>
        <v>46342.0</v>
      </c>
      <c r="I42" s="44">
        <f>$K$6</f>
        <v>46367.0</v>
      </c>
      <c r="J42" s="33"/>
      <c r="K42" s="33" t="s">
        <v>245</v>
      </c>
      <c r="L42" s="33"/>
      <c r="M42" s="45" t="str">
        <f>IF(L42="Compliant",1,IF(L42="Partially Compliant",0.5,IF(L42="Non-Compliant",0,"")))</f>
        <v/>
      </c>
      <c r="N42" s="33"/>
      <c r="O42" s="33"/>
      <c r="P42" s="33"/>
      <c r="Q42" s="31"/>
    </row>
    <row r="44" spans="8:8" ht="15.0">
      <c r="A44" s="27" t="s">
        <v>439</v>
      </c>
    </row>
  </sheetData>
  <autoFilter ref="A14:Q42">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42">
    <cfRule type="cellIs" operator="equal" priority="2" dxfId="7">
      <formula>"Compliant"</formula>
    </cfRule>
    <cfRule type="cellIs" operator="equal" priority="4" dxfId="8">
      <formula>"Non-Compliant"</formula>
    </cfRule>
    <cfRule type="cellIs" operator="equal" priority="3" dxfId="9">
      <formula>"Partially Compliant"</formula>
    </cfRule>
  </conditionalFormatting>
  <conditionalFormatting sqref="G15:G42">
    <cfRule type="cellIs" operator="equal" priority="5" dxfId="10">
      <formula>"High"</formula>
    </cfRule>
  </conditionalFormatting>
  <dataValidations count="4">
    <dataValidation allowBlank="1" type="list" errorStyle="stop" sqref="G15:G42">
      <formula1>"High,Medium,Low"</formula1>
      <formula2>0</formula2>
    </dataValidation>
    <dataValidation allowBlank="1" type="list" errorStyle="stop" sqref="K15:K42">
      <formula1>"Not Started,In Progress,Fieldwork Done,Reported,Completed"</formula1>
      <formula2>0</formula2>
    </dataValidation>
    <dataValidation allowBlank="1" type="list" errorStyle="stop" sqref="L15:L42">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7.xml><?xml version="1.0" encoding="utf-8"?>
<worksheet xmlns:r="http://schemas.openxmlformats.org/officeDocument/2006/relationships" xmlns="http://schemas.openxmlformats.org/spreadsheetml/2006/main">
  <sheetPr>
    <tabColor rgb="FF2E75B6"/>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520</v>
      </c>
      <c r="N1" s="34" t="s">
        <v>277</v>
      </c>
    </row>
    <row r="2" spans="8:8" ht="15.0">
      <c r="A2" s="12" t="s">
        <v>278</v>
      </c>
    </row>
    <row r="4" spans="8:8" ht="15.75" customHeight="1">
      <c r="A4" s="35" t="s">
        <v>59</v>
      </c>
      <c r="B4" s="35"/>
      <c r="C4" s="36" t="s">
        <v>73</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521</v>
      </c>
      <c r="D8" s="36"/>
      <c r="E8" s="36"/>
      <c r="F8" s="36"/>
      <c r="H8" s="35" t="s">
        <v>34</v>
      </c>
      <c r="I8" s="35"/>
      <c r="J8" s="35"/>
      <c r="K8" s="40">
        <f>COUNTIF(K15:K38,"Completed")</f>
        <v>0.0</v>
      </c>
    </row>
    <row r="9" spans="8:8" ht="15.75" customHeight="1">
      <c r="A9" s="35" t="s">
        <v>287</v>
      </c>
      <c r="B9" s="35"/>
      <c r="C9" s="36" t="s">
        <v>522</v>
      </c>
      <c r="D9" s="36"/>
      <c r="E9" s="36"/>
      <c r="F9" s="36"/>
      <c r="H9" s="35" t="s">
        <v>64</v>
      </c>
      <c r="I9" s="35"/>
      <c r="J9" s="35"/>
      <c r="K9" s="40">
        <f>COUNTIF(L15:L38,"Compliant")</f>
        <v>0.0</v>
      </c>
    </row>
    <row r="10" spans="8:8" ht="15.75" customHeight="1">
      <c r="A10" s="35" t="s">
        <v>289</v>
      </c>
      <c r="B10" s="35"/>
      <c r="C10" s="36" t="s">
        <v>523</v>
      </c>
      <c r="D10" s="36"/>
      <c r="E10" s="36"/>
      <c r="F10" s="36"/>
      <c r="H10" s="35" t="s">
        <v>36</v>
      </c>
      <c r="I10" s="35"/>
      <c r="J10" s="35"/>
      <c r="K10" s="40">
        <f>COUNTIF(L15:L38,"Partially Compliant")</f>
        <v>0.0</v>
      </c>
    </row>
    <row r="11" spans="8:8" ht="15.75" customHeight="1">
      <c r="A11" s="35" t="s">
        <v>291</v>
      </c>
      <c r="B11" s="35"/>
      <c r="C11" s="39" t="s">
        <v>146</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524</v>
      </c>
      <c r="B15" s="30" t="s">
        <v>122</v>
      </c>
      <c r="C15" s="30" t="s">
        <v>123</v>
      </c>
      <c r="D15" s="30" t="s">
        <v>124</v>
      </c>
      <c r="E15" s="30" t="s">
        <v>525</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526</v>
      </c>
      <c r="B16" s="30" t="s">
        <v>127</v>
      </c>
      <c r="C16" s="30" t="s">
        <v>128</v>
      </c>
      <c r="D16" s="30" t="s">
        <v>129</v>
      </c>
      <c r="E16" s="30" t="s">
        <v>527</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528</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529</v>
      </c>
      <c r="B18" s="30" t="s">
        <v>28</v>
      </c>
      <c r="C18" s="30" t="s">
        <v>137</v>
      </c>
      <c r="D18" s="30" t="s">
        <v>138</v>
      </c>
      <c r="E18" s="30" t="s">
        <v>530</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531</v>
      </c>
      <c r="B19" s="30" t="s">
        <v>141</v>
      </c>
      <c r="C19" s="30" t="s">
        <v>142</v>
      </c>
      <c r="D19" s="30" t="s">
        <v>143</v>
      </c>
      <c r="E19" s="30" t="s">
        <v>532</v>
      </c>
      <c r="F19" s="30" t="s">
        <v>145</v>
      </c>
      <c r="G19" s="33" t="s">
        <v>146</v>
      </c>
      <c r="H19" s="44">
        <f>$K$5</f>
        <v>46342.0</v>
      </c>
      <c r="I19" s="44">
        <f>$K$6</f>
        <v>46367.0</v>
      </c>
      <c r="J19" s="33"/>
      <c r="K19" s="33" t="s">
        <v>245</v>
      </c>
      <c r="L19" s="33"/>
      <c r="M19" s="45" t="str">
        <f>IF(L19="Compliant",1,IF(L19="Partially Compliant",0.5,IF(L19="Non-Compliant",0,"")))</f>
        <v/>
      </c>
      <c r="N19" s="33"/>
      <c r="O19" s="33"/>
      <c r="P19" s="33"/>
      <c r="Q19" s="31"/>
    </row>
    <row r="20" spans="8:8" ht="46.25">
      <c r="A20" s="30" t="s">
        <v>533</v>
      </c>
      <c r="B20" s="30" t="s">
        <v>147</v>
      </c>
      <c r="C20" s="30" t="s">
        <v>148</v>
      </c>
      <c r="D20" s="30" t="s">
        <v>149</v>
      </c>
      <c r="E20" s="30" t="s">
        <v>534</v>
      </c>
      <c r="F20" s="30" t="s">
        <v>151</v>
      </c>
      <c r="G20" s="33" t="s">
        <v>146</v>
      </c>
      <c r="H20" s="44">
        <f>$K$5</f>
        <v>46342.0</v>
      </c>
      <c r="I20" s="44">
        <f>$K$6</f>
        <v>46367.0</v>
      </c>
      <c r="J20" s="33"/>
      <c r="K20" s="33" t="s">
        <v>245</v>
      </c>
      <c r="L20" s="33"/>
      <c r="M20" s="45" t="str">
        <f>IF(L20="Compliant",1,IF(L20="Partially Compliant",0.5,IF(L20="Non-Compliant",0,"")))</f>
        <v/>
      </c>
      <c r="N20" s="33"/>
      <c r="O20" s="33"/>
      <c r="P20" s="33"/>
      <c r="Q20" s="31"/>
    </row>
    <row r="21" spans="8:8" ht="35.05">
      <c r="A21" s="30" t="s">
        <v>535</v>
      </c>
      <c r="B21" s="30" t="s">
        <v>152</v>
      </c>
      <c r="C21" s="30" t="s">
        <v>153</v>
      </c>
      <c r="D21" s="30" t="s">
        <v>154</v>
      </c>
      <c r="E21" s="30" t="s">
        <v>155</v>
      </c>
      <c r="F21" s="30" t="s">
        <v>156</v>
      </c>
      <c r="G21" s="33" t="s">
        <v>146</v>
      </c>
      <c r="H21" s="44">
        <f>$K$5</f>
        <v>46342.0</v>
      </c>
      <c r="I21" s="44">
        <f>$K$6</f>
        <v>46367.0</v>
      </c>
      <c r="J21" s="33"/>
      <c r="K21" s="33" t="s">
        <v>245</v>
      </c>
      <c r="L21" s="33"/>
      <c r="M21" s="45" t="str">
        <f>IF(L21="Compliant",1,IF(L21="Partially Compliant",0.5,IF(L21="Non-Compliant",0,"")))</f>
        <v/>
      </c>
      <c r="N21" s="33"/>
      <c r="O21" s="33"/>
      <c r="P21" s="33"/>
      <c r="Q21" s="31"/>
    </row>
    <row r="22" spans="8:8" ht="35.05">
      <c r="A22" s="30" t="s">
        <v>536</v>
      </c>
      <c r="B22" s="30" t="s">
        <v>157</v>
      </c>
      <c r="C22" s="30" t="s">
        <v>158</v>
      </c>
      <c r="D22" s="30" t="s">
        <v>159</v>
      </c>
      <c r="E22" s="30" t="s">
        <v>160</v>
      </c>
      <c r="F22" s="30" t="s">
        <v>161</v>
      </c>
      <c r="G22" s="33" t="s">
        <v>146</v>
      </c>
      <c r="H22" s="44">
        <f>$K$5</f>
        <v>46342.0</v>
      </c>
      <c r="I22" s="44">
        <f>$K$6</f>
        <v>46367.0</v>
      </c>
      <c r="J22" s="33"/>
      <c r="K22" s="33" t="s">
        <v>245</v>
      </c>
      <c r="L22" s="33"/>
      <c r="M22" s="45" t="str">
        <f>IF(L22="Compliant",1,IF(L22="Partially Compliant",0.5,IF(L22="Non-Compliant",0,"")))</f>
        <v/>
      </c>
      <c r="N22" s="33"/>
      <c r="O22" s="33"/>
      <c r="P22" s="33"/>
      <c r="Q22" s="31"/>
    </row>
    <row r="23" spans="8:8" ht="35.05">
      <c r="A23" s="30" t="s">
        <v>537</v>
      </c>
      <c r="B23" s="30" t="s">
        <v>162</v>
      </c>
      <c r="C23" s="30" t="s">
        <v>163</v>
      </c>
      <c r="D23" s="30" t="s">
        <v>164</v>
      </c>
      <c r="E23" s="30" t="s">
        <v>538</v>
      </c>
      <c r="F23" s="30" t="s">
        <v>166</v>
      </c>
      <c r="G23" s="33" t="s">
        <v>146</v>
      </c>
      <c r="H23" s="44">
        <f>$K$5</f>
        <v>46342.0</v>
      </c>
      <c r="I23" s="44">
        <f>$K$6</f>
        <v>46367.0</v>
      </c>
      <c r="J23" s="33"/>
      <c r="K23" s="33" t="s">
        <v>245</v>
      </c>
      <c r="L23" s="33"/>
      <c r="M23" s="45" t="str">
        <f>IF(L23="Compliant",1,IF(L23="Partially Compliant",0.5,IF(L23="Non-Compliant",0,"")))</f>
        <v/>
      </c>
      <c r="N23" s="33"/>
      <c r="O23" s="33"/>
      <c r="P23" s="33"/>
      <c r="Q23" s="31"/>
    </row>
    <row r="24" spans="8:8" ht="35.05">
      <c r="A24" s="30" t="s">
        <v>539</v>
      </c>
      <c r="B24" s="30" t="s">
        <v>167</v>
      </c>
      <c r="C24" s="30" t="s">
        <v>168</v>
      </c>
      <c r="D24" s="30" t="s">
        <v>169</v>
      </c>
      <c r="E24" s="30" t="s">
        <v>540</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541</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35.05">
      <c r="A26" s="30" t="s">
        <v>542</v>
      </c>
      <c r="B26" s="30" t="s">
        <v>177</v>
      </c>
      <c r="C26" s="30" t="s">
        <v>178</v>
      </c>
      <c r="D26" s="30" t="s">
        <v>543</v>
      </c>
      <c r="E26" s="30" t="s">
        <v>544</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545</v>
      </c>
      <c r="B27" s="30" t="s">
        <v>182</v>
      </c>
      <c r="C27" s="30" t="s">
        <v>183</v>
      </c>
      <c r="D27" s="30" t="s">
        <v>184</v>
      </c>
      <c r="E27" s="30" t="s">
        <v>546</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35.05">
      <c r="A28" s="30" t="s">
        <v>547</v>
      </c>
      <c r="B28" s="30" t="s">
        <v>187</v>
      </c>
      <c r="C28" s="30" t="s">
        <v>188</v>
      </c>
      <c r="D28" s="30" t="s">
        <v>189</v>
      </c>
      <c r="E28" s="30" t="s">
        <v>548</v>
      </c>
      <c r="F28" s="30" t="s">
        <v>191</v>
      </c>
      <c r="G28" s="33" t="s">
        <v>146</v>
      </c>
      <c r="H28" s="44">
        <f>$K$5</f>
        <v>46342.0</v>
      </c>
      <c r="I28" s="44">
        <f>$K$6</f>
        <v>46367.0</v>
      </c>
      <c r="J28" s="33"/>
      <c r="K28" s="33" t="s">
        <v>245</v>
      </c>
      <c r="L28" s="33"/>
      <c r="M28" s="45" t="str">
        <f>IF(L28="Compliant",1,IF(L28="Partially Compliant",0.5,IF(L28="Non-Compliant",0,"")))</f>
        <v/>
      </c>
      <c r="N28" s="33"/>
      <c r="O28" s="33"/>
      <c r="P28" s="33"/>
      <c r="Q28" s="31"/>
    </row>
    <row r="29" spans="8:8" ht="35.05">
      <c r="A29" s="30" t="s">
        <v>549</v>
      </c>
      <c r="B29" s="30" t="s">
        <v>192</v>
      </c>
      <c r="C29" s="30" t="s">
        <v>193</v>
      </c>
      <c r="D29" s="30" t="s">
        <v>194</v>
      </c>
      <c r="E29" s="30" t="s">
        <v>550</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551</v>
      </c>
      <c r="B30" s="30" t="s">
        <v>197</v>
      </c>
      <c r="C30" s="30" t="s">
        <v>198</v>
      </c>
      <c r="D30" s="30" t="s">
        <v>199</v>
      </c>
      <c r="E30" s="30" t="s">
        <v>552</v>
      </c>
      <c r="F30" s="30" t="s">
        <v>201</v>
      </c>
      <c r="G30" s="33" t="s">
        <v>146</v>
      </c>
      <c r="H30" s="44">
        <f>$K$5</f>
        <v>46342.0</v>
      </c>
      <c r="I30" s="44">
        <f>$K$6</f>
        <v>46367.0</v>
      </c>
      <c r="J30" s="33"/>
      <c r="K30" s="33" t="s">
        <v>245</v>
      </c>
      <c r="L30" s="33"/>
      <c r="M30" s="45" t="str">
        <f>IF(L30="Compliant",1,IF(L30="Partially Compliant",0.5,IF(L30="Non-Compliant",0,"")))</f>
        <v/>
      </c>
      <c r="N30" s="33"/>
      <c r="O30" s="33"/>
      <c r="P30" s="33"/>
      <c r="Q30" s="31"/>
    </row>
    <row r="31" spans="8:8" ht="35.05">
      <c r="A31" s="30" t="s">
        <v>553</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554</v>
      </c>
      <c r="B32" s="30" t="s">
        <v>208</v>
      </c>
      <c r="C32" s="30" t="s">
        <v>209</v>
      </c>
      <c r="D32" s="30" t="s">
        <v>210</v>
      </c>
      <c r="E32" s="30" t="s">
        <v>555</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556</v>
      </c>
      <c r="B33" s="30" t="s">
        <v>213</v>
      </c>
      <c r="C33" s="30" t="s">
        <v>214</v>
      </c>
      <c r="D33" s="30" t="s">
        <v>215</v>
      </c>
      <c r="E33" s="30" t="s">
        <v>557</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23.85">
      <c r="A34" s="30" t="s">
        <v>558</v>
      </c>
      <c r="B34" s="30" t="s">
        <v>218</v>
      </c>
      <c r="C34" s="30" t="s">
        <v>219</v>
      </c>
      <c r="D34" s="30" t="s">
        <v>220</v>
      </c>
      <c r="E34" s="30" t="s">
        <v>559</v>
      </c>
      <c r="F34" s="30" t="s">
        <v>222</v>
      </c>
      <c r="G34" s="33" t="s">
        <v>146</v>
      </c>
      <c r="H34" s="44">
        <f>$K$5</f>
        <v>46342.0</v>
      </c>
      <c r="I34" s="44">
        <f>$K$6</f>
        <v>46367.0</v>
      </c>
      <c r="J34" s="33"/>
      <c r="K34" s="33" t="s">
        <v>245</v>
      </c>
      <c r="L34" s="33"/>
      <c r="M34" s="45" t="str">
        <f>IF(L34="Compliant",1,IF(L34="Partially Compliant",0.5,IF(L34="Non-Compliant",0,"")))</f>
        <v/>
      </c>
      <c r="N34" s="33"/>
      <c r="O34" s="33"/>
      <c r="P34" s="33"/>
      <c r="Q34" s="31"/>
    </row>
    <row r="35" spans="8:8" ht="35.05">
      <c r="A35" s="30" t="s">
        <v>560</v>
      </c>
      <c r="B35" s="30" t="s">
        <v>223</v>
      </c>
      <c r="C35" s="30" t="s">
        <v>224</v>
      </c>
      <c r="D35" s="30" t="s">
        <v>225</v>
      </c>
      <c r="E35" s="30" t="s">
        <v>561</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23.85">
      <c r="A36" s="30" t="s">
        <v>562</v>
      </c>
      <c r="B36" s="30" t="s">
        <v>228</v>
      </c>
      <c r="C36" s="30" t="s">
        <v>229</v>
      </c>
      <c r="D36" s="30" t="s">
        <v>230</v>
      </c>
      <c r="E36" s="30" t="s">
        <v>563</v>
      </c>
      <c r="F36" s="30" t="s">
        <v>232</v>
      </c>
      <c r="G36" s="33" t="s">
        <v>146</v>
      </c>
      <c r="H36" s="44">
        <f>$K$5</f>
        <v>46342.0</v>
      </c>
      <c r="I36" s="44">
        <f>$K$6</f>
        <v>46367.0</v>
      </c>
      <c r="J36" s="33"/>
      <c r="K36" s="33" t="s">
        <v>245</v>
      </c>
      <c r="L36" s="33"/>
      <c r="M36" s="45" t="str">
        <f>IF(L36="Compliant",1,IF(L36="Partially Compliant",0.5,IF(L36="Non-Compliant",0,"")))</f>
        <v/>
      </c>
      <c r="N36" s="33"/>
      <c r="O36" s="33"/>
      <c r="P36" s="33"/>
      <c r="Q36" s="31"/>
    </row>
    <row r="37" spans="8:8" ht="46.25">
      <c r="A37" s="30" t="s">
        <v>564</v>
      </c>
      <c r="B37" s="43" t="s">
        <v>565</v>
      </c>
      <c r="C37" s="30" t="s">
        <v>566</v>
      </c>
      <c r="D37" s="30" t="s">
        <v>567</v>
      </c>
      <c r="E37" s="30" t="s">
        <v>568</v>
      </c>
      <c r="F37" s="30" t="s">
        <v>569</v>
      </c>
      <c r="G37" s="33" t="s">
        <v>146</v>
      </c>
      <c r="H37" s="44">
        <f>$K$5</f>
        <v>46342.0</v>
      </c>
      <c r="I37" s="44">
        <f>$K$6</f>
        <v>46367.0</v>
      </c>
      <c r="J37" s="33"/>
      <c r="K37" s="33" t="s">
        <v>245</v>
      </c>
      <c r="L37" s="33"/>
      <c r="M37" s="45" t="str">
        <f>IF(L37="Compliant",1,IF(L37="Partially Compliant",0.5,IF(L37="Non-Compliant",0,"")))</f>
        <v/>
      </c>
      <c r="N37" s="33"/>
      <c r="O37" s="33"/>
      <c r="P37" s="33"/>
      <c r="Q37" s="31"/>
    </row>
    <row r="38" spans="8:8" ht="35.05">
      <c r="A38" s="30" t="s">
        <v>570</v>
      </c>
      <c r="B38" s="43" t="s">
        <v>571</v>
      </c>
      <c r="C38" s="30" t="s">
        <v>572</v>
      </c>
      <c r="D38" s="30" t="s">
        <v>573</v>
      </c>
      <c r="E38" s="30" t="s">
        <v>574</v>
      </c>
      <c r="F38" s="30" t="s">
        <v>575</v>
      </c>
      <c r="G38" s="33" t="s">
        <v>146</v>
      </c>
      <c r="H38" s="44">
        <f>$K$5</f>
        <v>46342.0</v>
      </c>
      <c r="I38" s="44">
        <f>$K$6</f>
        <v>46367.0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11">
      <formula>"Partially Compliant"</formula>
    </cfRule>
    <cfRule type="cellIs" operator="equal" priority="4" dxfId="12">
      <formula>"Non-Compliant"</formula>
    </cfRule>
    <cfRule type="cellIs" operator="equal" priority="2" dxfId="13">
      <formula>"Compliant"</formula>
    </cfRule>
  </conditionalFormatting>
  <conditionalFormatting sqref="G15:G38">
    <cfRule type="cellIs" operator="equal" priority="5" dxfId="14">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8.xml><?xml version="1.0" encoding="utf-8"?>
<worksheet xmlns:r="http://schemas.openxmlformats.org/officeDocument/2006/relationships" xmlns="http://schemas.openxmlformats.org/spreadsheetml/2006/main">
  <sheetPr>
    <tabColor rgb="FF2E75B6"/>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576</v>
      </c>
      <c r="N1" s="34" t="s">
        <v>277</v>
      </c>
    </row>
    <row r="2" spans="8:8" ht="15.0">
      <c r="A2" s="12" t="s">
        <v>278</v>
      </c>
    </row>
    <row r="4" spans="8:8" ht="15.75" customHeight="1">
      <c r="A4" s="35" t="s">
        <v>59</v>
      </c>
      <c r="B4" s="35"/>
      <c r="C4" s="36" t="s">
        <v>74</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577</v>
      </c>
      <c r="D8" s="36"/>
      <c r="E8" s="36"/>
      <c r="F8" s="36"/>
      <c r="H8" s="35" t="s">
        <v>34</v>
      </c>
      <c r="I8" s="35"/>
      <c r="J8" s="35"/>
      <c r="K8" s="40">
        <f>COUNTIF(K15:K38,"Completed")</f>
        <v>0.0</v>
      </c>
    </row>
    <row r="9" spans="8:8" ht="27.75" customHeight="1">
      <c r="A9" s="35" t="s">
        <v>287</v>
      </c>
      <c r="B9" s="35"/>
      <c r="C9" s="36" t="s">
        <v>578</v>
      </c>
      <c r="D9" s="36"/>
      <c r="E9" s="36"/>
      <c r="F9" s="36"/>
      <c r="H9" s="35" t="s">
        <v>64</v>
      </c>
      <c r="I9" s="35"/>
      <c r="J9" s="35"/>
      <c r="K9" s="40">
        <f>COUNTIF(L15:L38,"Compliant")</f>
        <v>0.0</v>
      </c>
    </row>
    <row r="10" spans="8:8" ht="15.75" customHeight="1">
      <c r="A10" s="35" t="s">
        <v>289</v>
      </c>
      <c r="B10" s="35"/>
      <c r="C10" s="36" t="s">
        <v>579</v>
      </c>
      <c r="D10" s="36"/>
      <c r="E10" s="36"/>
      <c r="F10" s="36"/>
      <c r="H10" s="35" t="s">
        <v>36</v>
      </c>
      <c r="I10" s="35"/>
      <c r="J10" s="35"/>
      <c r="K10" s="40">
        <f>COUNTIF(L15:L38,"Partially Compliant")</f>
        <v>0.0</v>
      </c>
    </row>
    <row r="11" spans="8:8" ht="15.75" customHeight="1">
      <c r="A11" s="35" t="s">
        <v>291</v>
      </c>
      <c r="B11" s="35"/>
      <c r="C11" s="39" t="s">
        <v>146</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580</v>
      </c>
      <c r="B15" s="30" t="s">
        <v>122</v>
      </c>
      <c r="C15" s="30" t="s">
        <v>123</v>
      </c>
      <c r="D15" s="30" t="s">
        <v>124</v>
      </c>
      <c r="E15" s="30" t="s">
        <v>581</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582</v>
      </c>
      <c r="B16" s="30" t="s">
        <v>127</v>
      </c>
      <c r="C16" s="30" t="s">
        <v>128</v>
      </c>
      <c r="D16" s="30" t="s">
        <v>129</v>
      </c>
      <c r="E16" s="30" t="s">
        <v>583</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584</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585</v>
      </c>
      <c r="B18" s="30" t="s">
        <v>28</v>
      </c>
      <c r="C18" s="30" t="s">
        <v>137</v>
      </c>
      <c r="D18" s="30" t="s">
        <v>138</v>
      </c>
      <c r="E18" s="30" t="s">
        <v>586</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587</v>
      </c>
      <c r="B19" s="30" t="s">
        <v>141</v>
      </c>
      <c r="C19" s="30" t="s">
        <v>142</v>
      </c>
      <c r="D19" s="30" t="s">
        <v>143</v>
      </c>
      <c r="E19" s="30" t="s">
        <v>588</v>
      </c>
      <c r="F19" s="30" t="s">
        <v>145</v>
      </c>
      <c r="G19" s="33" t="s">
        <v>146</v>
      </c>
      <c r="H19" s="44">
        <f>$K$5</f>
        <v>46342.0</v>
      </c>
      <c r="I19" s="44">
        <f>$K$6</f>
        <v>46367.0</v>
      </c>
      <c r="J19" s="33"/>
      <c r="K19" s="33" t="s">
        <v>245</v>
      </c>
      <c r="L19" s="33"/>
      <c r="M19" s="45" t="str">
        <f>IF(L19="Compliant",1,IF(L19="Partially Compliant",0.5,IF(L19="Non-Compliant",0,"")))</f>
        <v/>
      </c>
      <c r="N19" s="33"/>
      <c r="O19" s="33"/>
      <c r="P19" s="33"/>
      <c r="Q19" s="31"/>
    </row>
    <row r="20" spans="8:8" ht="46.25">
      <c r="A20" s="30" t="s">
        <v>589</v>
      </c>
      <c r="B20" s="30" t="s">
        <v>147</v>
      </c>
      <c r="C20" s="30" t="s">
        <v>148</v>
      </c>
      <c r="D20" s="30" t="s">
        <v>149</v>
      </c>
      <c r="E20" s="30" t="s">
        <v>590</v>
      </c>
      <c r="F20" s="30" t="s">
        <v>151</v>
      </c>
      <c r="G20" s="33" t="s">
        <v>146</v>
      </c>
      <c r="H20" s="44">
        <f>$K$5</f>
        <v>46342.0</v>
      </c>
      <c r="I20" s="44">
        <f>$K$6</f>
        <v>46367.0</v>
      </c>
      <c r="J20" s="33"/>
      <c r="K20" s="33" t="s">
        <v>245</v>
      </c>
      <c r="L20" s="33"/>
      <c r="M20" s="45" t="str">
        <f>IF(L20="Compliant",1,IF(L20="Partially Compliant",0.5,IF(L20="Non-Compliant",0,"")))</f>
        <v/>
      </c>
      <c r="N20" s="33"/>
      <c r="O20" s="33"/>
      <c r="P20" s="33"/>
      <c r="Q20" s="31"/>
    </row>
    <row r="21" spans="8:8" ht="35.05">
      <c r="A21" s="30" t="s">
        <v>591</v>
      </c>
      <c r="B21" s="30" t="s">
        <v>152</v>
      </c>
      <c r="C21" s="30" t="s">
        <v>153</v>
      </c>
      <c r="D21" s="30" t="s">
        <v>154</v>
      </c>
      <c r="E21" s="30" t="s">
        <v>155</v>
      </c>
      <c r="F21" s="30" t="s">
        <v>156</v>
      </c>
      <c r="G21" s="33" t="s">
        <v>146</v>
      </c>
      <c r="H21" s="44">
        <f>$K$5</f>
        <v>46342.0</v>
      </c>
      <c r="I21" s="44">
        <f>$K$6</f>
        <v>46367.0</v>
      </c>
      <c r="J21" s="33"/>
      <c r="K21" s="33" t="s">
        <v>245</v>
      </c>
      <c r="L21" s="33"/>
      <c r="M21" s="45" t="str">
        <f>IF(L21="Compliant",1,IF(L21="Partially Compliant",0.5,IF(L21="Non-Compliant",0,"")))</f>
        <v/>
      </c>
      <c r="N21" s="33"/>
      <c r="O21" s="33"/>
      <c r="P21" s="33"/>
      <c r="Q21" s="31"/>
    </row>
    <row r="22" spans="8:8" ht="35.05">
      <c r="A22" s="30" t="s">
        <v>592</v>
      </c>
      <c r="B22" s="30" t="s">
        <v>157</v>
      </c>
      <c r="C22" s="30" t="s">
        <v>158</v>
      </c>
      <c r="D22" s="30" t="s">
        <v>159</v>
      </c>
      <c r="E22" s="30" t="s">
        <v>160</v>
      </c>
      <c r="F22" s="30" t="s">
        <v>161</v>
      </c>
      <c r="G22" s="33" t="s">
        <v>146</v>
      </c>
      <c r="H22" s="44">
        <f>$K$5</f>
        <v>46342.0</v>
      </c>
      <c r="I22" s="44">
        <f>$K$6</f>
        <v>46367.0</v>
      </c>
      <c r="J22" s="33"/>
      <c r="K22" s="33" t="s">
        <v>245</v>
      </c>
      <c r="L22" s="33"/>
      <c r="M22" s="45" t="str">
        <f>IF(L22="Compliant",1,IF(L22="Partially Compliant",0.5,IF(L22="Non-Compliant",0,"")))</f>
        <v/>
      </c>
      <c r="N22" s="33"/>
      <c r="O22" s="33"/>
      <c r="P22" s="33"/>
      <c r="Q22" s="31"/>
    </row>
    <row r="23" spans="8:8" ht="35.05">
      <c r="A23" s="30" t="s">
        <v>593</v>
      </c>
      <c r="B23" s="30" t="s">
        <v>162</v>
      </c>
      <c r="C23" s="30" t="s">
        <v>163</v>
      </c>
      <c r="D23" s="30" t="s">
        <v>164</v>
      </c>
      <c r="E23" s="30" t="s">
        <v>594</v>
      </c>
      <c r="F23" s="30" t="s">
        <v>166</v>
      </c>
      <c r="G23" s="33" t="s">
        <v>146</v>
      </c>
      <c r="H23" s="44">
        <f>$K$5</f>
        <v>46342.0</v>
      </c>
      <c r="I23" s="44">
        <f>$K$6</f>
        <v>46367.0</v>
      </c>
      <c r="J23" s="33"/>
      <c r="K23" s="33" t="s">
        <v>245</v>
      </c>
      <c r="L23" s="33"/>
      <c r="M23" s="45" t="str">
        <f>IF(L23="Compliant",1,IF(L23="Partially Compliant",0.5,IF(L23="Non-Compliant",0,"")))</f>
        <v/>
      </c>
      <c r="N23" s="33"/>
      <c r="O23" s="33"/>
      <c r="P23" s="33"/>
      <c r="Q23" s="31"/>
    </row>
    <row r="24" spans="8:8" ht="35.05">
      <c r="A24" s="30" t="s">
        <v>595</v>
      </c>
      <c r="B24" s="30" t="s">
        <v>167</v>
      </c>
      <c r="C24" s="30" t="s">
        <v>168</v>
      </c>
      <c r="D24" s="30" t="s">
        <v>169</v>
      </c>
      <c r="E24" s="30" t="s">
        <v>596</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597</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35.05">
      <c r="A26" s="30" t="s">
        <v>598</v>
      </c>
      <c r="B26" s="30" t="s">
        <v>177</v>
      </c>
      <c r="C26" s="30" t="s">
        <v>178</v>
      </c>
      <c r="D26" s="30" t="s">
        <v>599</v>
      </c>
      <c r="E26" s="30" t="s">
        <v>600</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601</v>
      </c>
      <c r="B27" s="30" t="s">
        <v>182</v>
      </c>
      <c r="C27" s="30" t="s">
        <v>183</v>
      </c>
      <c r="D27" s="30" t="s">
        <v>184</v>
      </c>
      <c r="E27" s="30" t="s">
        <v>602</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35.05">
      <c r="A28" s="30" t="s">
        <v>603</v>
      </c>
      <c r="B28" s="30" t="s">
        <v>187</v>
      </c>
      <c r="C28" s="30" t="s">
        <v>188</v>
      </c>
      <c r="D28" s="30" t="s">
        <v>189</v>
      </c>
      <c r="E28" s="30" t="s">
        <v>604</v>
      </c>
      <c r="F28" s="30" t="s">
        <v>191</v>
      </c>
      <c r="G28" s="33" t="s">
        <v>146</v>
      </c>
      <c r="H28" s="44">
        <f>$K$5</f>
        <v>46342.0</v>
      </c>
      <c r="I28" s="44">
        <f>$K$6</f>
        <v>46367.0</v>
      </c>
      <c r="J28" s="33"/>
      <c r="K28" s="33" t="s">
        <v>245</v>
      </c>
      <c r="L28" s="33"/>
      <c r="M28" s="45" t="str">
        <f>IF(L28="Compliant",1,IF(L28="Partially Compliant",0.5,IF(L28="Non-Compliant",0,"")))</f>
        <v/>
      </c>
      <c r="N28" s="33"/>
      <c r="O28" s="33"/>
      <c r="P28" s="33"/>
      <c r="Q28" s="31"/>
    </row>
    <row r="29" spans="8:8" ht="35.05">
      <c r="A29" s="30" t="s">
        <v>605</v>
      </c>
      <c r="B29" s="30" t="s">
        <v>192</v>
      </c>
      <c r="C29" s="30" t="s">
        <v>193</v>
      </c>
      <c r="D29" s="30" t="s">
        <v>194</v>
      </c>
      <c r="E29" s="30" t="s">
        <v>606</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607</v>
      </c>
      <c r="B30" s="30" t="s">
        <v>197</v>
      </c>
      <c r="C30" s="30" t="s">
        <v>198</v>
      </c>
      <c r="D30" s="30" t="s">
        <v>199</v>
      </c>
      <c r="E30" s="30" t="s">
        <v>608</v>
      </c>
      <c r="F30" s="30" t="s">
        <v>201</v>
      </c>
      <c r="G30" s="33" t="s">
        <v>146</v>
      </c>
      <c r="H30" s="44">
        <f>$K$5</f>
        <v>46342.0</v>
      </c>
      <c r="I30" s="44">
        <f>$K$6</f>
        <v>46367.0</v>
      </c>
      <c r="J30" s="33"/>
      <c r="K30" s="33" t="s">
        <v>245</v>
      </c>
      <c r="L30" s="33"/>
      <c r="M30" s="45" t="str">
        <f>IF(L30="Compliant",1,IF(L30="Partially Compliant",0.5,IF(L30="Non-Compliant",0,"")))</f>
        <v/>
      </c>
      <c r="N30" s="33"/>
      <c r="O30" s="33"/>
      <c r="P30" s="33"/>
      <c r="Q30" s="31"/>
    </row>
    <row r="31" spans="8:8" ht="35.05">
      <c r="A31" s="30" t="s">
        <v>609</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610</v>
      </c>
      <c r="B32" s="30" t="s">
        <v>208</v>
      </c>
      <c r="C32" s="30" t="s">
        <v>209</v>
      </c>
      <c r="D32" s="30" t="s">
        <v>210</v>
      </c>
      <c r="E32" s="30" t="s">
        <v>611</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612</v>
      </c>
      <c r="B33" s="30" t="s">
        <v>213</v>
      </c>
      <c r="C33" s="30" t="s">
        <v>214</v>
      </c>
      <c r="D33" s="30" t="s">
        <v>215</v>
      </c>
      <c r="E33" s="30" t="s">
        <v>613</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23.85">
      <c r="A34" s="30" t="s">
        <v>614</v>
      </c>
      <c r="B34" s="30" t="s">
        <v>218</v>
      </c>
      <c r="C34" s="30" t="s">
        <v>219</v>
      </c>
      <c r="D34" s="30" t="s">
        <v>220</v>
      </c>
      <c r="E34" s="30" t="s">
        <v>615</v>
      </c>
      <c r="F34" s="30" t="s">
        <v>222</v>
      </c>
      <c r="G34" s="33" t="s">
        <v>146</v>
      </c>
      <c r="H34" s="44">
        <f>$K$5</f>
        <v>46342.0</v>
      </c>
      <c r="I34" s="44">
        <f>$K$6</f>
        <v>46367.0</v>
      </c>
      <c r="J34" s="33"/>
      <c r="K34" s="33" t="s">
        <v>245</v>
      </c>
      <c r="L34" s="33"/>
      <c r="M34" s="45" t="str">
        <f>IF(L34="Compliant",1,IF(L34="Partially Compliant",0.5,IF(L34="Non-Compliant",0,"")))</f>
        <v/>
      </c>
      <c r="N34" s="33"/>
      <c r="O34" s="33"/>
      <c r="P34" s="33"/>
      <c r="Q34" s="31"/>
    </row>
    <row r="35" spans="8:8" ht="35.05">
      <c r="A35" s="30" t="s">
        <v>616</v>
      </c>
      <c r="B35" s="30" t="s">
        <v>223</v>
      </c>
      <c r="C35" s="30" t="s">
        <v>224</v>
      </c>
      <c r="D35" s="30" t="s">
        <v>225</v>
      </c>
      <c r="E35" s="30" t="s">
        <v>617</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23.85">
      <c r="A36" s="30" t="s">
        <v>618</v>
      </c>
      <c r="B36" s="30" t="s">
        <v>228</v>
      </c>
      <c r="C36" s="30" t="s">
        <v>229</v>
      </c>
      <c r="D36" s="30" t="s">
        <v>230</v>
      </c>
      <c r="E36" s="30" t="s">
        <v>619</v>
      </c>
      <c r="F36" s="30" t="s">
        <v>232</v>
      </c>
      <c r="G36" s="33" t="s">
        <v>146</v>
      </c>
      <c r="H36" s="44">
        <f>$K$5</f>
        <v>46342.0</v>
      </c>
      <c r="I36" s="44">
        <f>$K$6</f>
        <v>46367.0</v>
      </c>
      <c r="J36" s="33"/>
      <c r="K36" s="33" t="s">
        <v>245</v>
      </c>
      <c r="L36" s="33"/>
      <c r="M36" s="45" t="str">
        <f>IF(L36="Compliant",1,IF(L36="Partially Compliant",0.5,IF(L36="Non-Compliant",0,"")))</f>
        <v/>
      </c>
      <c r="N36" s="33"/>
      <c r="O36" s="33"/>
      <c r="P36" s="33"/>
      <c r="Q36" s="31"/>
    </row>
    <row r="37" spans="8:8" ht="35.05">
      <c r="A37" s="30" t="s">
        <v>620</v>
      </c>
      <c r="B37" s="43" t="s">
        <v>621</v>
      </c>
      <c r="C37" s="30" t="s">
        <v>622</v>
      </c>
      <c r="D37" s="30" t="s">
        <v>623</v>
      </c>
      <c r="E37" s="30" t="s">
        <v>624</v>
      </c>
      <c r="F37" s="30" t="s">
        <v>625</v>
      </c>
      <c r="G37" s="33" t="s">
        <v>146</v>
      </c>
      <c r="H37" s="44">
        <f>$K$5</f>
        <v>46342.0</v>
      </c>
      <c r="I37" s="44">
        <f>$K$6</f>
        <v>46367.0</v>
      </c>
      <c r="J37" s="33"/>
      <c r="K37" s="33" t="s">
        <v>245</v>
      </c>
      <c r="L37" s="33"/>
      <c r="M37" s="45" t="str">
        <f>IF(L37="Compliant",1,IF(L37="Partially Compliant",0.5,IF(L37="Non-Compliant",0,"")))</f>
        <v/>
      </c>
      <c r="N37" s="33"/>
      <c r="O37" s="33"/>
      <c r="P37" s="33"/>
      <c r="Q37" s="31"/>
    </row>
    <row r="38" spans="8:8" ht="23.85">
      <c r="A38" s="30" t="s">
        <v>626</v>
      </c>
      <c r="B38" s="43" t="s">
        <v>627</v>
      </c>
      <c r="C38" s="30" t="s">
        <v>628</v>
      </c>
      <c r="D38" s="30" t="s">
        <v>629</v>
      </c>
      <c r="E38" s="30" t="s">
        <v>630</v>
      </c>
      <c r="F38" s="30" t="s">
        <v>631</v>
      </c>
      <c r="G38" s="33" t="s">
        <v>146</v>
      </c>
      <c r="H38" s="44">
        <f>$K$5</f>
        <v>46342.0</v>
      </c>
      <c r="I38" s="44">
        <f>$K$6</f>
        <v>46367.0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15">
      <formula>"Partially Compliant"</formula>
    </cfRule>
    <cfRule type="cellIs" operator="equal" priority="4" dxfId="16">
      <formula>"Non-Compliant"</formula>
    </cfRule>
    <cfRule type="cellIs" operator="equal" priority="2" dxfId="17">
      <formula>"Compliant"</formula>
    </cfRule>
  </conditionalFormatting>
  <conditionalFormatting sqref="G15:G38">
    <cfRule type="cellIs" operator="equal" priority="5" dxfId="18">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9.xml><?xml version="1.0" encoding="utf-8"?>
<worksheet xmlns:r="http://schemas.openxmlformats.org/officeDocument/2006/relationships" xmlns="http://schemas.openxmlformats.org/spreadsheetml/2006/main">
  <sheetPr>
    <tabColor rgb="FF2E75B6"/>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632</v>
      </c>
      <c r="N1" s="34" t="s">
        <v>277</v>
      </c>
    </row>
    <row r="2" spans="8:8" ht="15.0">
      <c r="A2" s="12" t="s">
        <v>278</v>
      </c>
    </row>
    <row r="4" spans="8:8" ht="15.75" customHeight="1">
      <c r="A4" s="35" t="s">
        <v>59</v>
      </c>
      <c r="B4" s="35"/>
      <c r="C4" s="36" t="s">
        <v>75</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633</v>
      </c>
      <c r="D8" s="36"/>
      <c r="E8" s="36"/>
      <c r="F8" s="36"/>
      <c r="H8" s="35" t="s">
        <v>34</v>
      </c>
      <c r="I8" s="35"/>
      <c r="J8" s="35"/>
      <c r="K8" s="40">
        <f>COUNTIF(K15:K37,"Completed")</f>
        <v>0.0</v>
      </c>
    </row>
    <row r="9" spans="8:8" ht="15.75" customHeight="1">
      <c r="A9" s="35" t="s">
        <v>287</v>
      </c>
      <c r="B9" s="35"/>
      <c r="C9" s="36" t="s">
        <v>634</v>
      </c>
      <c r="D9" s="36"/>
      <c r="E9" s="36"/>
      <c r="F9" s="36"/>
      <c r="H9" s="35" t="s">
        <v>64</v>
      </c>
      <c r="I9" s="35"/>
      <c r="J9" s="35"/>
      <c r="K9" s="40">
        <f>COUNTIF(L15:L37,"Compliant")</f>
        <v>0.0</v>
      </c>
    </row>
    <row r="10" spans="8:8" ht="15.75" customHeight="1">
      <c r="A10" s="35" t="s">
        <v>289</v>
      </c>
      <c r="B10" s="35"/>
      <c r="C10" s="36" t="s">
        <v>635</v>
      </c>
      <c r="D10" s="36"/>
      <c r="E10" s="36"/>
      <c r="F10" s="36"/>
      <c r="H10" s="35" t="s">
        <v>36</v>
      </c>
      <c r="I10" s="35"/>
      <c r="J10" s="35"/>
      <c r="K10" s="40">
        <f>COUNTIF(L15:L37,"Partially Compliant")</f>
        <v>0.0</v>
      </c>
    </row>
    <row r="11" spans="8:8" ht="15.75" customHeight="1">
      <c r="A11" s="35" t="s">
        <v>291</v>
      </c>
      <c r="B11" s="35"/>
      <c r="C11" s="39" t="s">
        <v>207</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636</v>
      </c>
      <c r="B15" s="30" t="s">
        <v>122</v>
      </c>
      <c r="C15" s="30" t="s">
        <v>123</v>
      </c>
      <c r="D15" s="30" t="s">
        <v>124</v>
      </c>
      <c r="E15" s="30" t="s">
        <v>637</v>
      </c>
      <c r="F15" s="30" t="s">
        <v>126</v>
      </c>
      <c r="G15" s="33" t="s">
        <v>146</v>
      </c>
      <c r="H15" s="44">
        <f>$K$5</f>
        <v>46342.0</v>
      </c>
      <c r="I15" s="44">
        <f>$K$6</f>
        <v>46367.0</v>
      </c>
      <c r="J15" s="33"/>
      <c r="K15" s="33" t="s">
        <v>245</v>
      </c>
      <c r="L15" s="33"/>
      <c r="M15" s="45" t="str">
        <f>IF(L15="Compliant",1,IF(L15="Partially Compliant",0.5,IF(L15="Non-Compliant",0,"")))</f>
        <v/>
      </c>
      <c r="N15" s="33"/>
      <c r="O15" s="33"/>
      <c r="P15" s="33"/>
      <c r="Q15" s="31"/>
    </row>
    <row r="16" spans="8:8" ht="35.05">
      <c r="A16" s="30" t="s">
        <v>638</v>
      </c>
      <c r="B16" s="30" t="s">
        <v>127</v>
      </c>
      <c r="C16" s="30" t="s">
        <v>128</v>
      </c>
      <c r="D16" s="30" t="s">
        <v>129</v>
      </c>
      <c r="E16" s="30" t="s">
        <v>639</v>
      </c>
      <c r="F16" s="30" t="s">
        <v>131</v>
      </c>
      <c r="G16" s="33" t="s">
        <v>146</v>
      </c>
      <c r="H16" s="44">
        <f>$K$5</f>
        <v>46342.0</v>
      </c>
      <c r="I16" s="44">
        <f>$K$6</f>
        <v>46367.0</v>
      </c>
      <c r="J16" s="33"/>
      <c r="K16" s="33" t="s">
        <v>245</v>
      </c>
      <c r="L16" s="33"/>
      <c r="M16" s="45" t="str">
        <f>IF(L16="Compliant",1,IF(L16="Partially Compliant",0.5,IF(L16="Non-Compliant",0,"")))</f>
        <v/>
      </c>
      <c r="N16" s="33"/>
      <c r="O16" s="33"/>
      <c r="P16" s="33"/>
      <c r="Q16" s="31"/>
    </row>
    <row r="17" spans="8:8" ht="35.05">
      <c r="A17" s="30" t="s">
        <v>640</v>
      </c>
      <c r="B17" s="30" t="s">
        <v>132</v>
      </c>
      <c r="C17" s="30" t="s">
        <v>133</v>
      </c>
      <c r="D17" s="30" t="s">
        <v>134</v>
      </c>
      <c r="E17" s="30" t="s">
        <v>135</v>
      </c>
      <c r="F17" s="30" t="s">
        <v>136</v>
      </c>
      <c r="G17" s="33" t="s">
        <v>146</v>
      </c>
      <c r="H17" s="44">
        <f>$K$5</f>
        <v>46342.0</v>
      </c>
      <c r="I17" s="44">
        <f>$K$6</f>
        <v>46367.0</v>
      </c>
      <c r="J17" s="33"/>
      <c r="K17" s="33" t="s">
        <v>245</v>
      </c>
      <c r="L17" s="33"/>
      <c r="M17" s="45" t="str">
        <f>IF(L17="Compliant",1,IF(L17="Partially Compliant",0.5,IF(L17="Non-Compliant",0,"")))</f>
        <v/>
      </c>
      <c r="N17" s="33"/>
      <c r="O17" s="33"/>
      <c r="P17" s="33"/>
      <c r="Q17" s="31"/>
    </row>
    <row r="18" spans="8:8" ht="57.45">
      <c r="A18" s="30" t="s">
        <v>641</v>
      </c>
      <c r="B18" s="30" t="s">
        <v>28</v>
      </c>
      <c r="C18" s="30" t="s">
        <v>137</v>
      </c>
      <c r="D18" s="30" t="s">
        <v>138</v>
      </c>
      <c r="E18" s="30" t="s">
        <v>642</v>
      </c>
      <c r="F18" s="30" t="s">
        <v>140</v>
      </c>
      <c r="G18" s="33" t="s">
        <v>146</v>
      </c>
      <c r="H18" s="44">
        <f>$K$5</f>
        <v>46342.0</v>
      </c>
      <c r="I18" s="44">
        <f>$K$6</f>
        <v>46367.0</v>
      </c>
      <c r="J18" s="33"/>
      <c r="K18" s="33" t="s">
        <v>245</v>
      </c>
      <c r="L18" s="33"/>
      <c r="M18" s="45" t="str">
        <f>IF(L18="Compliant",1,IF(L18="Partially Compliant",0.5,IF(L18="Non-Compliant",0,"")))</f>
        <v/>
      </c>
      <c r="N18" s="33"/>
      <c r="O18" s="33"/>
      <c r="P18" s="33"/>
      <c r="Q18" s="31"/>
    </row>
    <row r="19" spans="8:8" ht="35.05">
      <c r="A19" s="30" t="s">
        <v>643</v>
      </c>
      <c r="B19" s="30" t="s">
        <v>141</v>
      </c>
      <c r="C19" s="30" t="s">
        <v>142</v>
      </c>
      <c r="D19" s="30" t="s">
        <v>143</v>
      </c>
      <c r="E19" s="30" t="s">
        <v>644</v>
      </c>
      <c r="F19" s="30" t="s">
        <v>145</v>
      </c>
      <c r="G19" s="33" t="s">
        <v>146</v>
      </c>
      <c r="H19" s="44">
        <f>$K$5</f>
        <v>46342.0</v>
      </c>
      <c r="I19" s="44">
        <f>$K$6</f>
        <v>46367.0</v>
      </c>
      <c r="J19" s="33"/>
      <c r="K19" s="33" t="s">
        <v>245</v>
      </c>
      <c r="L19" s="33"/>
      <c r="M19" s="45" t="str">
        <f>IF(L19="Compliant",1,IF(L19="Partially Compliant",0.5,IF(L19="Non-Compliant",0,"")))</f>
        <v/>
      </c>
      <c r="N19" s="33"/>
      <c r="O19" s="33"/>
      <c r="P19" s="33"/>
      <c r="Q19" s="31"/>
    </row>
    <row r="20" spans="8:8" ht="46.25">
      <c r="A20" s="30" t="s">
        <v>645</v>
      </c>
      <c r="B20" s="30" t="s">
        <v>147</v>
      </c>
      <c r="C20" s="30" t="s">
        <v>148</v>
      </c>
      <c r="D20" s="30" t="s">
        <v>149</v>
      </c>
      <c r="E20" s="30" t="s">
        <v>646</v>
      </c>
      <c r="F20" s="30" t="s">
        <v>151</v>
      </c>
      <c r="G20" s="33" t="s">
        <v>146</v>
      </c>
      <c r="H20" s="44">
        <f>$K$5</f>
        <v>46342.0</v>
      </c>
      <c r="I20" s="44">
        <f>$K$6</f>
        <v>46367.0</v>
      </c>
      <c r="J20" s="33"/>
      <c r="K20" s="33" t="s">
        <v>245</v>
      </c>
      <c r="L20" s="33"/>
      <c r="M20" s="45" t="str">
        <f>IF(L20="Compliant",1,IF(L20="Partially Compliant",0.5,IF(L20="Non-Compliant",0,"")))</f>
        <v/>
      </c>
      <c r="N20" s="33"/>
      <c r="O20" s="33"/>
      <c r="P20" s="33"/>
      <c r="Q20" s="31"/>
    </row>
    <row r="21" spans="8:8" ht="35.05">
      <c r="A21" s="30" t="s">
        <v>647</v>
      </c>
      <c r="B21" s="30" t="s">
        <v>152</v>
      </c>
      <c r="C21" s="30" t="s">
        <v>153</v>
      </c>
      <c r="D21" s="30" t="s">
        <v>154</v>
      </c>
      <c r="E21" s="30" t="s">
        <v>155</v>
      </c>
      <c r="F21" s="30" t="s">
        <v>156</v>
      </c>
      <c r="G21" s="33" t="s">
        <v>146</v>
      </c>
      <c r="H21" s="44">
        <f>$K$5</f>
        <v>46342.0</v>
      </c>
      <c r="I21" s="44">
        <f>$K$6</f>
        <v>46367.0</v>
      </c>
      <c r="J21" s="33"/>
      <c r="K21" s="33" t="s">
        <v>245</v>
      </c>
      <c r="L21" s="33"/>
      <c r="M21" s="45" t="str">
        <f>IF(L21="Compliant",1,IF(L21="Partially Compliant",0.5,IF(L21="Non-Compliant",0,"")))</f>
        <v/>
      </c>
      <c r="N21" s="33"/>
      <c r="O21" s="33"/>
      <c r="P21" s="33"/>
      <c r="Q21" s="31"/>
    </row>
    <row r="22" spans="8:8" ht="35.05">
      <c r="A22" s="30" t="s">
        <v>648</v>
      </c>
      <c r="B22" s="30" t="s">
        <v>157</v>
      </c>
      <c r="C22" s="30" t="s">
        <v>158</v>
      </c>
      <c r="D22" s="30" t="s">
        <v>159</v>
      </c>
      <c r="E22" s="30" t="s">
        <v>160</v>
      </c>
      <c r="F22" s="30" t="s">
        <v>161</v>
      </c>
      <c r="G22" s="33" t="s">
        <v>146</v>
      </c>
      <c r="H22" s="44">
        <f>$K$5</f>
        <v>46342.0</v>
      </c>
      <c r="I22" s="44">
        <f>$K$6</f>
        <v>46367.0</v>
      </c>
      <c r="J22" s="33"/>
      <c r="K22" s="33" t="s">
        <v>245</v>
      </c>
      <c r="L22" s="33"/>
      <c r="M22" s="45" t="str">
        <f>IF(L22="Compliant",1,IF(L22="Partially Compliant",0.5,IF(L22="Non-Compliant",0,"")))</f>
        <v/>
      </c>
      <c r="N22" s="33"/>
      <c r="O22" s="33"/>
      <c r="P22" s="33"/>
      <c r="Q22" s="31"/>
    </row>
    <row r="23" spans="8:8" ht="35.05">
      <c r="A23" s="30" t="s">
        <v>649</v>
      </c>
      <c r="B23" s="30" t="s">
        <v>162</v>
      </c>
      <c r="C23" s="30" t="s">
        <v>163</v>
      </c>
      <c r="D23" s="30" t="s">
        <v>164</v>
      </c>
      <c r="E23" s="30" t="s">
        <v>650</v>
      </c>
      <c r="F23" s="30" t="s">
        <v>166</v>
      </c>
      <c r="G23" s="33" t="s">
        <v>146</v>
      </c>
      <c r="H23" s="44">
        <f>$K$5</f>
        <v>46342.0</v>
      </c>
      <c r="I23" s="44">
        <f>$K$6</f>
        <v>46367.0</v>
      </c>
      <c r="J23" s="33"/>
      <c r="K23" s="33" t="s">
        <v>245</v>
      </c>
      <c r="L23" s="33"/>
      <c r="M23" s="45" t="str">
        <f>IF(L23="Compliant",1,IF(L23="Partially Compliant",0.5,IF(L23="Non-Compliant",0,"")))</f>
        <v/>
      </c>
      <c r="N23" s="33"/>
      <c r="O23" s="33"/>
      <c r="P23" s="33"/>
      <c r="Q23" s="31"/>
    </row>
    <row r="24" spans="8:8" ht="35.05">
      <c r="A24" s="30" t="s">
        <v>651</v>
      </c>
      <c r="B24" s="30" t="s">
        <v>167</v>
      </c>
      <c r="C24" s="30" t="s">
        <v>168</v>
      </c>
      <c r="D24" s="30" t="s">
        <v>169</v>
      </c>
      <c r="E24" s="30" t="s">
        <v>652</v>
      </c>
      <c r="F24" s="30" t="s">
        <v>171</v>
      </c>
      <c r="G24" s="33" t="s">
        <v>146</v>
      </c>
      <c r="H24" s="44">
        <f>$K$5</f>
        <v>46342.0</v>
      </c>
      <c r="I24" s="44">
        <f>$K$6</f>
        <v>46367.0</v>
      </c>
      <c r="J24" s="33"/>
      <c r="K24" s="33" t="s">
        <v>245</v>
      </c>
      <c r="L24" s="33"/>
      <c r="M24" s="45" t="str">
        <f>IF(L24="Compliant",1,IF(L24="Partially Compliant",0.5,IF(L24="Non-Compliant",0,"")))</f>
        <v/>
      </c>
      <c r="N24" s="33"/>
      <c r="O24" s="33"/>
      <c r="P24" s="33"/>
      <c r="Q24" s="31"/>
    </row>
    <row r="25" spans="8:8" ht="35.05">
      <c r="A25" s="30" t="s">
        <v>653</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35.05">
      <c r="A26" s="30" t="s">
        <v>654</v>
      </c>
      <c r="B26" s="30" t="s">
        <v>177</v>
      </c>
      <c r="C26" s="30" t="s">
        <v>178</v>
      </c>
      <c r="D26" s="30" t="s">
        <v>655</v>
      </c>
      <c r="E26" s="30" t="s">
        <v>656</v>
      </c>
      <c r="F26" s="30" t="s">
        <v>181</v>
      </c>
      <c r="G26" s="33" t="s">
        <v>146</v>
      </c>
      <c r="H26" s="44">
        <f>$K$5</f>
        <v>46342.0</v>
      </c>
      <c r="I26" s="44">
        <f>$K$6</f>
        <v>46367.0</v>
      </c>
      <c r="J26" s="33"/>
      <c r="K26" s="33" t="s">
        <v>245</v>
      </c>
      <c r="L26" s="33"/>
      <c r="M26" s="45" t="str">
        <f>IF(L26="Compliant",1,IF(L26="Partially Compliant",0.5,IF(L26="Non-Compliant",0,"")))</f>
        <v/>
      </c>
      <c r="N26" s="33"/>
      <c r="O26" s="33"/>
      <c r="P26" s="33"/>
      <c r="Q26" s="31"/>
    </row>
    <row r="27" spans="8:8" ht="35.05">
      <c r="A27" s="30" t="s">
        <v>657</v>
      </c>
      <c r="B27" s="30" t="s">
        <v>182</v>
      </c>
      <c r="C27" s="30" t="s">
        <v>183</v>
      </c>
      <c r="D27" s="30" t="s">
        <v>184</v>
      </c>
      <c r="E27" s="30" t="s">
        <v>658</v>
      </c>
      <c r="F27" s="30" t="s">
        <v>186</v>
      </c>
      <c r="G27" s="33" t="s">
        <v>146</v>
      </c>
      <c r="H27" s="44">
        <f>$K$5</f>
        <v>46342.0</v>
      </c>
      <c r="I27" s="44">
        <f>$K$6</f>
        <v>46367.0</v>
      </c>
      <c r="J27" s="33"/>
      <c r="K27" s="33" t="s">
        <v>245</v>
      </c>
      <c r="L27" s="33"/>
      <c r="M27" s="45" t="str">
        <f>IF(L27="Compliant",1,IF(L27="Partially Compliant",0.5,IF(L27="Non-Compliant",0,"")))</f>
        <v/>
      </c>
      <c r="N27" s="33"/>
      <c r="O27" s="33"/>
      <c r="P27" s="33"/>
      <c r="Q27" s="31"/>
    </row>
    <row r="28" spans="8:8" ht="35.05">
      <c r="A28" s="30" t="s">
        <v>659</v>
      </c>
      <c r="B28" s="30" t="s">
        <v>187</v>
      </c>
      <c r="C28" s="30" t="s">
        <v>188</v>
      </c>
      <c r="D28" s="30" t="s">
        <v>189</v>
      </c>
      <c r="E28" s="30" t="s">
        <v>660</v>
      </c>
      <c r="F28" s="30" t="s">
        <v>191</v>
      </c>
      <c r="G28" s="33" t="s">
        <v>146</v>
      </c>
      <c r="H28" s="44">
        <f>$K$5</f>
        <v>46342.0</v>
      </c>
      <c r="I28" s="44">
        <f>$K$6</f>
        <v>46367.0</v>
      </c>
      <c r="J28" s="33"/>
      <c r="K28" s="33" t="s">
        <v>245</v>
      </c>
      <c r="L28" s="33"/>
      <c r="M28" s="45" t="str">
        <f>IF(L28="Compliant",1,IF(L28="Partially Compliant",0.5,IF(L28="Non-Compliant",0,"")))</f>
        <v/>
      </c>
      <c r="N28" s="33"/>
      <c r="O28" s="33"/>
      <c r="P28" s="33"/>
      <c r="Q28" s="31"/>
    </row>
    <row r="29" spans="8:8" ht="35.05">
      <c r="A29" s="30" t="s">
        <v>661</v>
      </c>
      <c r="B29" s="30" t="s">
        <v>192</v>
      </c>
      <c r="C29" s="30" t="s">
        <v>193</v>
      </c>
      <c r="D29" s="30" t="s">
        <v>194</v>
      </c>
      <c r="E29" s="30" t="s">
        <v>662</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663</v>
      </c>
      <c r="B30" s="30" t="s">
        <v>197</v>
      </c>
      <c r="C30" s="30" t="s">
        <v>198</v>
      </c>
      <c r="D30" s="30" t="s">
        <v>199</v>
      </c>
      <c r="E30" s="30" t="s">
        <v>664</v>
      </c>
      <c r="F30" s="30" t="s">
        <v>201</v>
      </c>
      <c r="G30" s="33" t="s">
        <v>146</v>
      </c>
      <c r="H30" s="44">
        <f>$K$5</f>
        <v>46342.0</v>
      </c>
      <c r="I30" s="44">
        <f>$K$6</f>
        <v>46367.0</v>
      </c>
      <c r="J30" s="33"/>
      <c r="K30" s="33" t="s">
        <v>245</v>
      </c>
      <c r="L30" s="33"/>
      <c r="M30" s="45" t="str">
        <f>IF(L30="Compliant",1,IF(L30="Partially Compliant",0.5,IF(L30="Non-Compliant",0,"")))</f>
        <v/>
      </c>
      <c r="N30" s="33"/>
      <c r="O30" s="33"/>
      <c r="P30" s="33"/>
      <c r="Q30" s="31"/>
    </row>
    <row r="31" spans="8:8" ht="35.05">
      <c r="A31" s="30" t="s">
        <v>665</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666</v>
      </c>
      <c r="B32" s="30" t="s">
        <v>208</v>
      </c>
      <c r="C32" s="30" t="s">
        <v>209</v>
      </c>
      <c r="D32" s="30" t="s">
        <v>210</v>
      </c>
      <c r="E32" s="30" t="s">
        <v>667</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668</v>
      </c>
      <c r="B33" s="30" t="s">
        <v>213</v>
      </c>
      <c r="C33" s="30" t="s">
        <v>214</v>
      </c>
      <c r="D33" s="30" t="s">
        <v>215</v>
      </c>
      <c r="E33" s="30" t="s">
        <v>669</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23.85">
      <c r="A34" s="30" t="s">
        <v>670</v>
      </c>
      <c r="B34" s="30" t="s">
        <v>218</v>
      </c>
      <c r="C34" s="30" t="s">
        <v>219</v>
      </c>
      <c r="D34" s="30" t="s">
        <v>220</v>
      </c>
      <c r="E34" s="30" t="s">
        <v>671</v>
      </c>
      <c r="F34" s="30" t="s">
        <v>222</v>
      </c>
      <c r="G34" s="33" t="s">
        <v>146</v>
      </c>
      <c r="H34" s="44">
        <f>$K$5</f>
        <v>46342.0</v>
      </c>
      <c r="I34" s="44">
        <f>$K$6</f>
        <v>46367.0</v>
      </c>
      <c r="J34" s="33"/>
      <c r="K34" s="33" t="s">
        <v>245</v>
      </c>
      <c r="L34" s="33"/>
      <c r="M34" s="45" t="str">
        <f>IF(L34="Compliant",1,IF(L34="Partially Compliant",0.5,IF(L34="Non-Compliant",0,"")))</f>
        <v/>
      </c>
      <c r="N34" s="33"/>
      <c r="O34" s="33"/>
      <c r="P34" s="33"/>
      <c r="Q34" s="31"/>
    </row>
    <row r="35" spans="8:8" ht="35.05">
      <c r="A35" s="30" t="s">
        <v>672</v>
      </c>
      <c r="B35" s="30" t="s">
        <v>223</v>
      </c>
      <c r="C35" s="30" t="s">
        <v>224</v>
      </c>
      <c r="D35" s="30" t="s">
        <v>225</v>
      </c>
      <c r="E35" s="30" t="s">
        <v>673</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23.85">
      <c r="A36" s="30" t="s">
        <v>674</v>
      </c>
      <c r="B36" s="30" t="s">
        <v>228</v>
      </c>
      <c r="C36" s="30" t="s">
        <v>229</v>
      </c>
      <c r="D36" s="30" t="s">
        <v>230</v>
      </c>
      <c r="E36" s="30" t="s">
        <v>675</v>
      </c>
      <c r="F36" s="30" t="s">
        <v>232</v>
      </c>
      <c r="G36" s="33" t="s">
        <v>146</v>
      </c>
      <c r="H36" s="44">
        <f>$K$5</f>
        <v>46342.0</v>
      </c>
      <c r="I36" s="44">
        <f>$K$6</f>
        <v>46367.0</v>
      </c>
      <c r="J36" s="33"/>
      <c r="K36" s="33" t="s">
        <v>245</v>
      </c>
      <c r="L36" s="33"/>
      <c r="M36" s="45" t="str">
        <f>IF(L36="Compliant",1,IF(L36="Partially Compliant",0.5,IF(L36="Non-Compliant",0,"")))</f>
        <v/>
      </c>
      <c r="N36" s="33"/>
      <c r="O36" s="33"/>
      <c r="P36" s="33"/>
      <c r="Q36" s="31"/>
    </row>
    <row r="37" spans="8:8" ht="35.05">
      <c r="A37" s="30" t="s">
        <v>676</v>
      </c>
      <c r="B37" s="43" t="s">
        <v>677</v>
      </c>
      <c r="C37" s="30" t="s">
        <v>678</v>
      </c>
      <c r="D37" s="30" t="s">
        <v>679</v>
      </c>
      <c r="E37" s="30" t="s">
        <v>680</v>
      </c>
      <c r="F37" s="30" t="s">
        <v>681</v>
      </c>
      <c r="G37" s="33" t="s">
        <v>207</v>
      </c>
      <c r="H37" s="44">
        <f>$K$5</f>
        <v>46342.0</v>
      </c>
      <c r="I37" s="44">
        <f>$K$6</f>
        <v>46367.0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19">
      <formula>"Partially Compliant"</formula>
    </cfRule>
    <cfRule type="cellIs" operator="equal" priority="4" dxfId="20">
      <formula>"Non-Compliant"</formula>
    </cfRule>
    <cfRule type="cellIs" operator="equal" priority="2" dxfId="21">
      <formula>"Compliant"</formula>
    </cfRule>
  </conditionalFormatting>
  <conditionalFormatting sqref="G15:G37">
    <cfRule type="cellIs" operator="equal" priority="5" dxfId="22">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0.xml><?xml version="1.0" encoding="utf-8"?>
<worksheet xmlns:r="http://schemas.openxmlformats.org/officeDocument/2006/relationships" xmlns="http://schemas.openxmlformats.org/spreadsheetml/2006/main">
  <sheetPr>
    <tabColor rgb="FF2E75B6"/>
    <pageSetUpPr fitToPage="1"/>
  </sheetPr>
  <dimension ref="A1:R42"/>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682</v>
      </c>
      <c r="N1" s="34" t="s">
        <v>277</v>
      </c>
    </row>
    <row r="2" spans="8:8" ht="15.0">
      <c r="A2" s="12" t="s">
        <v>278</v>
      </c>
    </row>
    <row r="4" spans="8:8" ht="15.75" customHeight="1">
      <c r="A4" s="35" t="s">
        <v>59</v>
      </c>
      <c r="B4" s="35"/>
      <c r="C4" s="36" t="s">
        <v>76</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COUNTA(A15:A40)</f>
        <v>26.0</v>
      </c>
    </row>
    <row r="8" spans="8:8" ht="15.75" customHeight="1">
      <c r="A8" s="35" t="s">
        <v>285</v>
      </c>
      <c r="B8" s="35"/>
      <c r="C8" s="36" t="s">
        <v>683</v>
      </c>
      <c r="D8" s="36"/>
      <c r="E8" s="36"/>
      <c r="F8" s="36"/>
      <c r="H8" s="35" t="s">
        <v>34</v>
      </c>
      <c r="I8" s="35"/>
      <c r="J8" s="35"/>
      <c r="K8" s="40">
        <f>COUNTIF(K15:K40,"Completed")</f>
        <v>0.0</v>
      </c>
    </row>
    <row r="9" spans="8:8" ht="27.75" customHeight="1">
      <c r="A9" s="35" t="s">
        <v>287</v>
      </c>
      <c r="B9" s="35"/>
      <c r="C9" s="36" t="s">
        <v>684</v>
      </c>
      <c r="D9" s="36"/>
      <c r="E9" s="36"/>
      <c r="F9" s="36"/>
      <c r="H9" s="35" t="s">
        <v>64</v>
      </c>
      <c r="I9" s="35"/>
      <c r="J9" s="35"/>
      <c r="K9" s="40">
        <f>COUNTIF(L15:L40,"Compliant")</f>
        <v>0.0</v>
      </c>
    </row>
    <row r="10" spans="8:8" ht="15.75" customHeight="1">
      <c r="A10" s="35" t="s">
        <v>289</v>
      </c>
      <c r="B10" s="35"/>
      <c r="C10" s="36" t="s">
        <v>685</v>
      </c>
      <c r="D10" s="36"/>
      <c r="E10" s="36"/>
      <c r="F10" s="36"/>
      <c r="H10" s="35" t="s">
        <v>36</v>
      </c>
      <c r="I10" s="35"/>
      <c r="J10" s="35"/>
      <c r="K10" s="40">
        <f>COUNTIF(L15:L40,"Partially Compliant")</f>
        <v>0.0</v>
      </c>
    </row>
    <row r="11" spans="8:8" ht="15.75" customHeight="1">
      <c r="A11" s="35" t="s">
        <v>291</v>
      </c>
      <c r="B11" s="35"/>
      <c r="C11" s="39" t="s">
        <v>30</v>
      </c>
      <c r="D11" s="39"/>
      <c r="E11" s="39"/>
      <c r="F11" s="39"/>
      <c r="H11" s="35" t="s">
        <v>49</v>
      </c>
      <c r="I11" s="35"/>
      <c r="J11" s="35"/>
      <c r="K11" s="40">
        <f>COUNTIF(L15:L40,"Non-Compliant")</f>
        <v>0.0</v>
      </c>
    </row>
    <row r="12" spans="8:8" ht="15.0">
      <c r="H12" s="35" t="s">
        <v>292</v>
      </c>
      <c r="I12" s="35"/>
      <c r="J12" s="35"/>
      <c r="K12" s="40">
        <f>COUNTIF(L15:L40,"Not Applicable")</f>
        <v>0.0</v>
      </c>
    </row>
    <row r="13" spans="8:8" ht="15.0">
      <c r="H13" s="35" t="s">
        <v>293</v>
      </c>
      <c r="I13" s="35"/>
      <c r="J13" s="35"/>
      <c r="K13" s="41" t="str">
        <f>_xlfn.IFERROR(AVERAGE(M15:M40),"")</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68.65">
      <c r="A15" s="30" t="s">
        <v>686</v>
      </c>
      <c r="B15" s="30" t="s">
        <v>122</v>
      </c>
      <c r="C15" s="30" t="s">
        <v>123</v>
      </c>
      <c r="D15" s="30" t="s">
        <v>124</v>
      </c>
      <c r="E15" s="30" t="s">
        <v>687</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688</v>
      </c>
      <c r="B16" s="30" t="s">
        <v>127</v>
      </c>
      <c r="C16" s="30" t="s">
        <v>128</v>
      </c>
      <c r="D16" s="30" t="s">
        <v>129</v>
      </c>
      <c r="E16" s="30" t="s">
        <v>689</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690</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691</v>
      </c>
      <c r="B18" s="30" t="s">
        <v>28</v>
      </c>
      <c r="C18" s="30" t="s">
        <v>137</v>
      </c>
      <c r="D18" s="30" t="s">
        <v>138</v>
      </c>
      <c r="E18" s="30" t="s">
        <v>692</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693</v>
      </c>
      <c r="B19" s="30" t="s">
        <v>141</v>
      </c>
      <c r="C19" s="30" t="s">
        <v>142</v>
      </c>
      <c r="D19" s="30" t="s">
        <v>143</v>
      </c>
      <c r="E19" s="30" t="s">
        <v>694</v>
      </c>
      <c r="F19" s="30" t="s">
        <v>145</v>
      </c>
      <c r="G19" s="33" t="s">
        <v>30</v>
      </c>
      <c r="H19" s="44">
        <f>$K$5</f>
        <v>46342.0</v>
      </c>
      <c r="I19" s="44">
        <f>$K$6</f>
        <v>46367.0</v>
      </c>
      <c r="J19" s="33"/>
      <c r="K19" s="33" t="s">
        <v>245</v>
      </c>
      <c r="L19" s="33"/>
      <c r="M19" s="45" t="str">
        <f>IF(L19="Compliant",1,IF(L19="Partially Compliant",0.5,IF(L19="Non-Compliant",0,"")))</f>
        <v/>
      </c>
      <c r="N19" s="33"/>
      <c r="O19" s="33"/>
      <c r="P19" s="33"/>
      <c r="Q19" s="31"/>
    </row>
    <row r="20" spans="8:8" ht="46.25">
      <c r="A20" s="30" t="s">
        <v>695</v>
      </c>
      <c r="B20" s="30" t="s">
        <v>147</v>
      </c>
      <c r="C20" s="30" t="s">
        <v>148</v>
      </c>
      <c r="D20" s="30" t="s">
        <v>149</v>
      </c>
      <c r="E20" s="30" t="s">
        <v>696</v>
      </c>
      <c r="F20" s="30" t="s">
        <v>151</v>
      </c>
      <c r="G20" s="33" t="s">
        <v>30</v>
      </c>
      <c r="H20" s="44">
        <f>$K$5</f>
        <v>46342.0</v>
      </c>
      <c r="I20" s="44">
        <f>$K$6</f>
        <v>46367.0</v>
      </c>
      <c r="J20" s="33"/>
      <c r="K20" s="33" t="s">
        <v>245</v>
      </c>
      <c r="L20" s="33"/>
      <c r="M20" s="45" t="str">
        <f>IF(L20="Compliant",1,IF(L20="Partially Compliant",0.5,IF(L20="Non-Compliant",0,"")))</f>
        <v/>
      </c>
      <c r="N20" s="33"/>
      <c r="O20" s="33"/>
      <c r="P20" s="33"/>
      <c r="Q20" s="31"/>
    </row>
    <row r="21" spans="8:8" ht="35.05">
      <c r="A21" s="30" t="s">
        <v>697</v>
      </c>
      <c r="B21" s="30" t="s">
        <v>152</v>
      </c>
      <c r="C21" s="30" t="s">
        <v>153</v>
      </c>
      <c r="D21" s="30" t="s">
        <v>154</v>
      </c>
      <c r="E21" s="30" t="s">
        <v>155</v>
      </c>
      <c r="F21" s="30" t="s">
        <v>156</v>
      </c>
      <c r="G21" s="33" t="s">
        <v>30</v>
      </c>
      <c r="H21" s="44">
        <f>$K$5</f>
        <v>46342.0</v>
      </c>
      <c r="I21" s="44">
        <f>$K$6</f>
        <v>46367.0</v>
      </c>
      <c r="J21" s="33"/>
      <c r="K21" s="33" t="s">
        <v>245</v>
      </c>
      <c r="L21" s="33"/>
      <c r="M21" s="45" t="str">
        <f>IF(L21="Compliant",1,IF(L21="Partially Compliant",0.5,IF(L21="Non-Compliant",0,"")))</f>
        <v/>
      </c>
      <c r="N21" s="33"/>
      <c r="O21" s="33"/>
      <c r="P21" s="33"/>
      <c r="Q21" s="31"/>
    </row>
    <row r="22" spans="8:8" ht="35.05">
      <c r="A22" s="30" t="s">
        <v>698</v>
      </c>
      <c r="B22" s="30" t="s">
        <v>157</v>
      </c>
      <c r="C22" s="30" t="s">
        <v>158</v>
      </c>
      <c r="D22" s="30" t="s">
        <v>159</v>
      </c>
      <c r="E22" s="30" t="s">
        <v>160</v>
      </c>
      <c r="F22" s="30" t="s">
        <v>161</v>
      </c>
      <c r="G22" s="33" t="s">
        <v>30</v>
      </c>
      <c r="H22" s="44">
        <f>$K$5</f>
        <v>46342.0</v>
      </c>
      <c r="I22" s="44">
        <f>$K$6</f>
        <v>46367.0</v>
      </c>
      <c r="J22" s="33"/>
      <c r="K22" s="33" t="s">
        <v>245</v>
      </c>
      <c r="L22" s="33"/>
      <c r="M22" s="45" t="str">
        <f>IF(L22="Compliant",1,IF(L22="Partially Compliant",0.5,IF(L22="Non-Compliant",0,"")))</f>
        <v/>
      </c>
      <c r="N22" s="33"/>
      <c r="O22" s="33"/>
      <c r="P22" s="33"/>
      <c r="Q22" s="31"/>
    </row>
    <row r="23" spans="8:8" ht="35.05">
      <c r="A23" s="30" t="s">
        <v>699</v>
      </c>
      <c r="B23" s="30" t="s">
        <v>162</v>
      </c>
      <c r="C23" s="30" t="s">
        <v>163</v>
      </c>
      <c r="D23" s="30" t="s">
        <v>164</v>
      </c>
      <c r="E23" s="30" t="s">
        <v>700</v>
      </c>
      <c r="F23" s="30" t="s">
        <v>166</v>
      </c>
      <c r="G23" s="33" t="s">
        <v>30</v>
      </c>
      <c r="H23" s="44">
        <f>$K$5</f>
        <v>46342.0</v>
      </c>
      <c r="I23" s="44">
        <f>$K$6</f>
        <v>46367.0</v>
      </c>
      <c r="J23" s="33"/>
      <c r="K23" s="33" t="s">
        <v>245</v>
      </c>
      <c r="L23" s="33"/>
      <c r="M23" s="45" t="str">
        <f>IF(L23="Compliant",1,IF(L23="Partially Compliant",0.5,IF(L23="Non-Compliant",0,"")))</f>
        <v/>
      </c>
      <c r="N23" s="33"/>
      <c r="O23" s="33"/>
      <c r="P23" s="33"/>
      <c r="Q23" s="31"/>
    </row>
    <row r="24" spans="8:8" ht="35.05">
      <c r="A24" s="30" t="s">
        <v>701</v>
      </c>
      <c r="B24" s="30" t="s">
        <v>167</v>
      </c>
      <c r="C24" s="30" t="s">
        <v>168</v>
      </c>
      <c r="D24" s="30" t="s">
        <v>169</v>
      </c>
      <c r="E24" s="30" t="s">
        <v>702</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703</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46.25">
      <c r="A26" s="30" t="s">
        <v>704</v>
      </c>
      <c r="B26" s="30" t="s">
        <v>177</v>
      </c>
      <c r="C26" s="30" t="s">
        <v>178</v>
      </c>
      <c r="D26" s="30" t="s">
        <v>705</v>
      </c>
      <c r="E26" s="30" t="s">
        <v>706</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707</v>
      </c>
      <c r="B27" s="30" t="s">
        <v>182</v>
      </c>
      <c r="C27" s="30" t="s">
        <v>183</v>
      </c>
      <c r="D27" s="30" t="s">
        <v>184</v>
      </c>
      <c r="E27" s="30" t="s">
        <v>708</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35.05">
      <c r="A28" s="30" t="s">
        <v>709</v>
      </c>
      <c r="B28" s="30" t="s">
        <v>187</v>
      </c>
      <c r="C28" s="30" t="s">
        <v>188</v>
      </c>
      <c r="D28" s="30" t="s">
        <v>189</v>
      </c>
      <c r="E28" s="30" t="s">
        <v>710</v>
      </c>
      <c r="F28" s="30" t="s">
        <v>191</v>
      </c>
      <c r="G28" s="33" t="s">
        <v>30</v>
      </c>
      <c r="H28" s="44">
        <f>$K$5</f>
        <v>46342.0</v>
      </c>
      <c r="I28" s="44">
        <f>$K$6</f>
        <v>46367.0</v>
      </c>
      <c r="J28" s="33"/>
      <c r="K28" s="33" t="s">
        <v>245</v>
      </c>
      <c r="L28" s="33"/>
      <c r="M28" s="45" t="str">
        <f>IF(L28="Compliant",1,IF(L28="Partially Compliant",0.5,IF(L28="Non-Compliant",0,"")))</f>
        <v/>
      </c>
      <c r="N28" s="33"/>
      <c r="O28" s="33"/>
      <c r="P28" s="33"/>
      <c r="Q28" s="31"/>
    </row>
    <row r="29" spans="8:8" ht="35.05">
      <c r="A29" s="30" t="s">
        <v>711</v>
      </c>
      <c r="B29" s="30" t="s">
        <v>192</v>
      </c>
      <c r="C29" s="30" t="s">
        <v>193</v>
      </c>
      <c r="D29" s="30" t="s">
        <v>194</v>
      </c>
      <c r="E29" s="30" t="s">
        <v>712</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713</v>
      </c>
      <c r="B30" s="30" t="s">
        <v>197</v>
      </c>
      <c r="C30" s="30" t="s">
        <v>198</v>
      </c>
      <c r="D30" s="30" t="s">
        <v>199</v>
      </c>
      <c r="E30" s="30" t="s">
        <v>714</v>
      </c>
      <c r="F30" s="30" t="s">
        <v>201</v>
      </c>
      <c r="G30" s="33" t="s">
        <v>30</v>
      </c>
      <c r="H30" s="44">
        <f>$K$5</f>
        <v>46342.0</v>
      </c>
      <c r="I30" s="44">
        <f>$K$6</f>
        <v>46367.0</v>
      </c>
      <c r="J30" s="33"/>
      <c r="K30" s="33" t="s">
        <v>245</v>
      </c>
      <c r="L30" s="33"/>
      <c r="M30" s="45" t="str">
        <f>IF(L30="Compliant",1,IF(L30="Partially Compliant",0.5,IF(L30="Non-Compliant",0,"")))</f>
        <v/>
      </c>
      <c r="N30" s="33"/>
      <c r="O30" s="33"/>
      <c r="P30" s="33"/>
      <c r="Q30" s="31"/>
    </row>
    <row r="31" spans="8:8" ht="35.05">
      <c r="A31" s="30" t="s">
        <v>715</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716</v>
      </c>
      <c r="B32" s="30" t="s">
        <v>208</v>
      </c>
      <c r="C32" s="30" t="s">
        <v>209</v>
      </c>
      <c r="D32" s="30" t="s">
        <v>210</v>
      </c>
      <c r="E32" s="30" t="s">
        <v>717</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718</v>
      </c>
      <c r="B33" s="30" t="s">
        <v>213</v>
      </c>
      <c r="C33" s="30" t="s">
        <v>214</v>
      </c>
      <c r="D33" s="30" t="s">
        <v>215</v>
      </c>
      <c r="E33" s="30" t="s">
        <v>719</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35.05">
      <c r="A34" s="30" t="s">
        <v>720</v>
      </c>
      <c r="B34" s="30" t="s">
        <v>218</v>
      </c>
      <c r="C34" s="30" t="s">
        <v>219</v>
      </c>
      <c r="D34" s="30" t="s">
        <v>220</v>
      </c>
      <c r="E34" s="30" t="s">
        <v>721</v>
      </c>
      <c r="F34" s="30" t="s">
        <v>222</v>
      </c>
      <c r="G34" s="33" t="s">
        <v>30</v>
      </c>
      <c r="H34" s="44">
        <f>$K$5</f>
        <v>46342.0</v>
      </c>
      <c r="I34" s="44">
        <f>$K$6</f>
        <v>46367.0</v>
      </c>
      <c r="J34" s="33"/>
      <c r="K34" s="33" t="s">
        <v>245</v>
      </c>
      <c r="L34" s="33"/>
      <c r="M34" s="45" t="str">
        <f>IF(L34="Compliant",1,IF(L34="Partially Compliant",0.5,IF(L34="Non-Compliant",0,"")))</f>
        <v/>
      </c>
      <c r="N34" s="33"/>
      <c r="O34" s="33"/>
      <c r="P34" s="33"/>
      <c r="Q34" s="31"/>
    </row>
    <row r="35" spans="8:8" ht="35.05">
      <c r="A35" s="30" t="s">
        <v>722</v>
      </c>
      <c r="B35" s="30" t="s">
        <v>223</v>
      </c>
      <c r="C35" s="30" t="s">
        <v>224</v>
      </c>
      <c r="D35" s="30" t="s">
        <v>225</v>
      </c>
      <c r="E35" s="30" t="s">
        <v>723</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35.05">
      <c r="A36" s="30" t="s">
        <v>724</v>
      </c>
      <c r="B36" s="30" t="s">
        <v>228</v>
      </c>
      <c r="C36" s="30" t="s">
        <v>229</v>
      </c>
      <c r="D36" s="30" t="s">
        <v>230</v>
      </c>
      <c r="E36" s="30" t="s">
        <v>725</v>
      </c>
      <c r="F36" s="30" t="s">
        <v>232</v>
      </c>
      <c r="G36" s="33" t="s">
        <v>30</v>
      </c>
      <c r="H36" s="44">
        <f>$K$5</f>
        <v>46342.0</v>
      </c>
      <c r="I36" s="44">
        <f>$K$6</f>
        <v>46367.0</v>
      </c>
      <c r="J36" s="33"/>
      <c r="K36" s="33" t="s">
        <v>245</v>
      </c>
      <c r="L36" s="33"/>
      <c r="M36" s="45" t="str">
        <f>IF(L36="Compliant",1,IF(L36="Partially Compliant",0.5,IF(L36="Non-Compliant",0,"")))</f>
        <v/>
      </c>
      <c r="N36" s="33"/>
      <c r="O36" s="33"/>
      <c r="P36" s="33"/>
      <c r="Q36" s="31"/>
    </row>
    <row r="37" spans="8:8" ht="23.85">
      <c r="A37" s="30" t="s">
        <v>726</v>
      </c>
      <c r="B37" s="43" t="s">
        <v>727</v>
      </c>
      <c r="C37" s="30" t="s">
        <v>728</v>
      </c>
      <c r="D37" s="30" t="s">
        <v>729</v>
      </c>
      <c r="E37" s="30" t="s">
        <v>730</v>
      </c>
      <c r="F37" s="30" t="s">
        <v>731</v>
      </c>
      <c r="G37" s="33" t="s">
        <v>30</v>
      </c>
      <c r="H37" s="44">
        <f>$K$5</f>
        <v>46342.0</v>
      </c>
      <c r="I37" s="44">
        <f>$K$6</f>
        <v>46367.0</v>
      </c>
      <c r="J37" s="33"/>
      <c r="K37" s="33" t="s">
        <v>245</v>
      </c>
      <c r="L37" s="33"/>
      <c r="M37" s="45" t="str">
        <f>IF(L37="Compliant",1,IF(L37="Partially Compliant",0.5,IF(L37="Non-Compliant",0,"")))</f>
        <v/>
      </c>
      <c r="N37" s="33"/>
      <c r="O37" s="33"/>
      <c r="P37" s="33"/>
      <c r="Q37" s="31"/>
    </row>
    <row r="38" spans="8:8" ht="35.05">
      <c r="A38" s="30" t="s">
        <v>732</v>
      </c>
      <c r="B38" s="43" t="s">
        <v>733</v>
      </c>
      <c r="C38" s="30" t="s">
        <v>734</v>
      </c>
      <c r="D38" s="30" t="s">
        <v>735</v>
      </c>
      <c r="E38" s="30" t="s">
        <v>736</v>
      </c>
      <c r="F38" s="30" t="s">
        <v>737</v>
      </c>
      <c r="G38" s="33" t="s">
        <v>30</v>
      </c>
      <c r="H38" s="44">
        <f>$K$5</f>
        <v>46342.0</v>
      </c>
      <c r="I38" s="44">
        <f>$K$6</f>
        <v>46367.0</v>
      </c>
      <c r="J38" s="33"/>
      <c r="K38" s="33" t="s">
        <v>245</v>
      </c>
      <c r="L38" s="33"/>
      <c r="M38" s="45" t="str">
        <f>IF(L38="Compliant",1,IF(L38="Partially Compliant",0.5,IF(L38="Non-Compliant",0,"")))</f>
        <v/>
      </c>
      <c r="N38" s="33"/>
      <c r="O38" s="33"/>
      <c r="P38" s="33"/>
      <c r="Q38" s="31"/>
    </row>
    <row r="39" spans="8:8" ht="35.05">
      <c r="A39" s="30" t="s">
        <v>738</v>
      </c>
      <c r="B39" s="43" t="s">
        <v>739</v>
      </c>
      <c r="C39" s="30" t="s">
        <v>740</v>
      </c>
      <c r="D39" s="30" t="s">
        <v>741</v>
      </c>
      <c r="E39" s="30" t="s">
        <v>742</v>
      </c>
      <c r="F39" s="30" t="s">
        <v>743</v>
      </c>
      <c r="G39" s="33" t="s">
        <v>30</v>
      </c>
      <c r="H39" s="44">
        <f>$K$5</f>
        <v>46342.0</v>
      </c>
      <c r="I39" s="44">
        <f>$K$6</f>
        <v>46367.0</v>
      </c>
      <c r="J39" s="33"/>
      <c r="K39" s="33" t="s">
        <v>245</v>
      </c>
      <c r="L39" s="33"/>
      <c r="M39" s="45" t="str">
        <f>IF(L39="Compliant",1,IF(L39="Partially Compliant",0.5,IF(L39="Non-Compliant",0,"")))</f>
        <v/>
      </c>
      <c r="N39" s="33"/>
      <c r="O39" s="33"/>
      <c r="P39" s="33"/>
      <c r="Q39" s="31"/>
    </row>
    <row r="40" spans="8:8" ht="23.85">
      <c r="A40" s="30" t="s">
        <v>744</v>
      </c>
      <c r="B40" s="43" t="s">
        <v>745</v>
      </c>
      <c r="C40" s="30" t="s">
        <v>746</v>
      </c>
      <c r="D40" s="30" t="s">
        <v>747</v>
      </c>
      <c r="E40" s="30" t="s">
        <v>748</v>
      </c>
      <c r="F40" s="30" t="s">
        <v>749</v>
      </c>
      <c r="G40" s="33" t="s">
        <v>30</v>
      </c>
      <c r="H40" s="44">
        <f>$K$5</f>
        <v>46342.0</v>
      </c>
      <c r="I40" s="44">
        <f>$K$6</f>
        <v>46367.0</v>
      </c>
      <c r="J40" s="33"/>
      <c r="K40" s="33" t="s">
        <v>245</v>
      </c>
      <c r="L40" s="33"/>
      <c r="M40" s="45" t="str">
        <f>IF(L40="Compliant",1,IF(L40="Partially Compliant",0.5,IF(L40="Non-Compliant",0,"")))</f>
        <v/>
      </c>
      <c r="N40" s="33"/>
      <c r="O40" s="33"/>
      <c r="P40" s="33"/>
      <c r="Q40" s="31"/>
    </row>
    <row r="42" spans="8:8" ht="15.0">
      <c r="A42" s="27" t="s">
        <v>439</v>
      </c>
    </row>
  </sheetData>
  <autoFilter ref="A14:Q40">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G15:G40">
    <cfRule type="cellIs" operator="equal" priority="5" dxfId="23">
      <formula>"High"</formula>
    </cfRule>
  </conditionalFormatting>
  <conditionalFormatting sqref="L15:L40">
    <cfRule type="cellIs" operator="equal" priority="2" dxfId="24">
      <formula>"Compliant"</formula>
    </cfRule>
    <cfRule type="cellIs" operator="equal" priority="3" dxfId="25">
      <formula>"Partially Compliant"</formula>
    </cfRule>
    <cfRule type="cellIs" operator="equal" priority="4" dxfId="26">
      <formula>"Non-Compliant"</formula>
    </cfRule>
  </conditionalFormatting>
  <dataValidations count="4">
    <dataValidation allowBlank="1" type="list" errorStyle="stop" sqref="G15:G40">
      <formula1>"High,Medium,Low"</formula1>
      <formula2>0</formula2>
    </dataValidation>
    <dataValidation allowBlank="1" type="list" errorStyle="stop" sqref="K15:K40">
      <formula1>"Not Started,In Progress,Fieldwork Done,Reported,Completed"</formula1>
      <formula2>0</formula2>
    </dataValidation>
    <dataValidation allowBlank="1" type="list" errorStyle="stop" sqref="L15:L40">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1.xml><?xml version="1.0" encoding="utf-8"?>
<worksheet xmlns:r="http://schemas.openxmlformats.org/officeDocument/2006/relationships" xmlns="http://schemas.openxmlformats.org/spreadsheetml/2006/main">
  <sheetPr>
    <tabColor rgb="FF2E75B6"/>
    <pageSetUpPr fitToPage="1"/>
  </sheetPr>
  <dimension ref="A1:R42"/>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750</v>
      </c>
      <c r="N1" s="34" t="s">
        <v>277</v>
      </c>
    </row>
    <row r="2" spans="8:8" ht="15.0">
      <c r="A2" s="12" t="s">
        <v>278</v>
      </c>
    </row>
    <row r="4" spans="8:8" ht="15.75" customHeight="1">
      <c r="A4" s="35" t="s">
        <v>59</v>
      </c>
      <c r="B4" s="35"/>
      <c r="C4" s="36" t="s">
        <v>77</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COUNTA(A15:A40)</f>
        <v>26.0</v>
      </c>
    </row>
    <row r="8" spans="8:8" ht="15.75" customHeight="1">
      <c r="A8" s="35" t="s">
        <v>285</v>
      </c>
      <c r="B8" s="35"/>
      <c r="C8" s="36" t="s">
        <v>751</v>
      </c>
      <c r="D8" s="36"/>
      <c r="E8" s="36"/>
      <c r="F8" s="36"/>
      <c r="H8" s="35" t="s">
        <v>34</v>
      </c>
      <c r="I8" s="35"/>
      <c r="J8" s="35"/>
      <c r="K8" s="40">
        <f>COUNTIF(K15:K40,"Completed")</f>
        <v>0.0</v>
      </c>
    </row>
    <row r="9" spans="8:8" ht="27.75" customHeight="1">
      <c r="A9" s="35" t="s">
        <v>287</v>
      </c>
      <c r="B9" s="35"/>
      <c r="C9" s="36" t="s">
        <v>752</v>
      </c>
      <c r="D9" s="36"/>
      <c r="E9" s="36"/>
      <c r="F9" s="36"/>
      <c r="H9" s="35" t="s">
        <v>64</v>
      </c>
      <c r="I9" s="35"/>
      <c r="J9" s="35"/>
      <c r="K9" s="40">
        <f>COUNTIF(L15:L40,"Compliant")</f>
        <v>0.0</v>
      </c>
    </row>
    <row r="10" spans="8:8" ht="15.75" customHeight="1">
      <c r="A10" s="35" t="s">
        <v>289</v>
      </c>
      <c r="B10" s="35"/>
      <c r="C10" s="36" t="s">
        <v>753</v>
      </c>
      <c r="D10" s="36"/>
      <c r="E10" s="36"/>
      <c r="F10" s="36"/>
      <c r="H10" s="35" t="s">
        <v>36</v>
      </c>
      <c r="I10" s="35"/>
      <c r="J10" s="35"/>
      <c r="K10" s="40">
        <f>COUNTIF(L15:L40,"Partially Compliant")</f>
        <v>0.0</v>
      </c>
    </row>
    <row r="11" spans="8:8" ht="15.75" customHeight="1">
      <c r="A11" s="35" t="s">
        <v>291</v>
      </c>
      <c r="B11" s="35"/>
      <c r="C11" s="39" t="s">
        <v>30</v>
      </c>
      <c r="D11" s="39"/>
      <c r="E11" s="39"/>
      <c r="F11" s="39"/>
      <c r="H11" s="35" t="s">
        <v>49</v>
      </c>
      <c r="I11" s="35"/>
      <c r="J11" s="35"/>
      <c r="K11" s="40">
        <f>COUNTIF(L15:L40,"Non-Compliant")</f>
        <v>0.0</v>
      </c>
    </row>
    <row r="12" spans="8:8" ht="15.0">
      <c r="H12" s="35" t="s">
        <v>292</v>
      </c>
      <c r="I12" s="35"/>
      <c r="J12" s="35"/>
      <c r="K12" s="40">
        <f>COUNTIF(L15:L40,"Not Applicable")</f>
        <v>0.0</v>
      </c>
    </row>
    <row r="13" spans="8:8" ht="15.0">
      <c r="H13" s="35" t="s">
        <v>293</v>
      </c>
      <c r="I13" s="35"/>
      <c r="J13" s="35"/>
      <c r="K13" s="41" t="str">
        <f>_xlfn.IFERROR(AVERAGE(M15:M40),"")</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754</v>
      </c>
      <c r="B15" s="30" t="s">
        <v>122</v>
      </c>
      <c r="C15" s="30" t="s">
        <v>123</v>
      </c>
      <c r="D15" s="30" t="s">
        <v>124</v>
      </c>
      <c r="E15" s="30" t="s">
        <v>755</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756</v>
      </c>
      <c r="B16" s="30" t="s">
        <v>127</v>
      </c>
      <c r="C16" s="30" t="s">
        <v>128</v>
      </c>
      <c r="D16" s="30" t="s">
        <v>129</v>
      </c>
      <c r="E16" s="30" t="s">
        <v>757</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758</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759</v>
      </c>
      <c r="B18" s="30" t="s">
        <v>28</v>
      </c>
      <c r="C18" s="30" t="s">
        <v>137</v>
      </c>
      <c r="D18" s="30" t="s">
        <v>138</v>
      </c>
      <c r="E18" s="30" t="s">
        <v>760</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761</v>
      </c>
      <c r="B19" s="30" t="s">
        <v>141</v>
      </c>
      <c r="C19" s="30" t="s">
        <v>142</v>
      </c>
      <c r="D19" s="30" t="s">
        <v>143</v>
      </c>
      <c r="E19" s="30" t="s">
        <v>762</v>
      </c>
      <c r="F19" s="30" t="s">
        <v>145</v>
      </c>
      <c r="G19" s="33" t="s">
        <v>30</v>
      </c>
      <c r="H19" s="44">
        <f>$K$5</f>
        <v>46342.0</v>
      </c>
      <c r="I19" s="44">
        <f>$K$6</f>
        <v>46367.0</v>
      </c>
      <c r="J19" s="33"/>
      <c r="K19" s="33" t="s">
        <v>245</v>
      </c>
      <c r="L19" s="33"/>
      <c r="M19" s="45" t="str">
        <f>IF(L19="Compliant",1,IF(L19="Partially Compliant",0.5,IF(L19="Non-Compliant",0,"")))</f>
        <v/>
      </c>
      <c r="N19" s="33"/>
      <c r="O19" s="33"/>
      <c r="P19" s="33"/>
      <c r="Q19" s="31"/>
    </row>
    <row r="20" spans="8:8" ht="46.25">
      <c r="A20" s="30" t="s">
        <v>763</v>
      </c>
      <c r="B20" s="30" t="s">
        <v>147</v>
      </c>
      <c r="C20" s="30" t="s">
        <v>148</v>
      </c>
      <c r="D20" s="30" t="s">
        <v>149</v>
      </c>
      <c r="E20" s="30" t="s">
        <v>764</v>
      </c>
      <c r="F20" s="30" t="s">
        <v>151</v>
      </c>
      <c r="G20" s="33" t="s">
        <v>30</v>
      </c>
      <c r="H20" s="44">
        <f>$K$5</f>
        <v>46342.0</v>
      </c>
      <c r="I20" s="44">
        <f>$K$6</f>
        <v>46367.0</v>
      </c>
      <c r="J20" s="33"/>
      <c r="K20" s="33" t="s">
        <v>245</v>
      </c>
      <c r="L20" s="33"/>
      <c r="M20" s="45" t="str">
        <f>IF(L20="Compliant",1,IF(L20="Partially Compliant",0.5,IF(L20="Non-Compliant",0,"")))</f>
        <v/>
      </c>
      <c r="N20" s="33"/>
      <c r="O20" s="33"/>
      <c r="P20" s="33"/>
      <c r="Q20" s="31"/>
    </row>
    <row r="21" spans="8:8" ht="35.05">
      <c r="A21" s="30" t="s">
        <v>765</v>
      </c>
      <c r="B21" s="30" t="s">
        <v>152</v>
      </c>
      <c r="C21" s="30" t="s">
        <v>153</v>
      </c>
      <c r="D21" s="30" t="s">
        <v>154</v>
      </c>
      <c r="E21" s="30" t="s">
        <v>155</v>
      </c>
      <c r="F21" s="30" t="s">
        <v>156</v>
      </c>
      <c r="G21" s="33" t="s">
        <v>30</v>
      </c>
      <c r="H21" s="44">
        <f>$K$5</f>
        <v>46342.0</v>
      </c>
      <c r="I21" s="44">
        <f>$K$6</f>
        <v>46367.0</v>
      </c>
      <c r="J21" s="33"/>
      <c r="K21" s="33" t="s">
        <v>245</v>
      </c>
      <c r="L21" s="33"/>
      <c r="M21" s="45" t="str">
        <f>IF(L21="Compliant",1,IF(L21="Partially Compliant",0.5,IF(L21="Non-Compliant",0,"")))</f>
        <v/>
      </c>
      <c r="N21" s="33"/>
      <c r="O21" s="33"/>
      <c r="P21" s="33"/>
      <c r="Q21" s="31"/>
    </row>
    <row r="22" spans="8:8" ht="35.05">
      <c r="A22" s="30" t="s">
        <v>766</v>
      </c>
      <c r="B22" s="30" t="s">
        <v>157</v>
      </c>
      <c r="C22" s="30" t="s">
        <v>158</v>
      </c>
      <c r="D22" s="30" t="s">
        <v>159</v>
      </c>
      <c r="E22" s="30" t="s">
        <v>160</v>
      </c>
      <c r="F22" s="30" t="s">
        <v>161</v>
      </c>
      <c r="G22" s="33" t="s">
        <v>30</v>
      </c>
      <c r="H22" s="44">
        <f>$K$5</f>
        <v>46342.0</v>
      </c>
      <c r="I22" s="44">
        <f>$K$6</f>
        <v>46367.0</v>
      </c>
      <c r="J22" s="33"/>
      <c r="K22" s="33" t="s">
        <v>245</v>
      </c>
      <c r="L22" s="33"/>
      <c r="M22" s="45" t="str">
        <f>IF(L22="Compliant",1,IF(L22="Partially Compliant",0.5,IF(L22="Non-Compliant",0,"")))</f>
        <v/>
      </c>
      <c r="N22" s="33"/>
      <c r="O22" s="33"/>
      <c r="P22" s="33"/>
      <c r="Q22" s="31"/>
    </row>
    <row r="23" spans="8:8" ht="35.05">
      <c r="A23" s="30" t="s">
        <v>767</v>
      </c>
      <c r="B23" s="30" t="s">
        <v>162</v>
      </c>
      <c r="C23" s="30" t="s">
        <v>163</v>
      </c>
      <c r="D23" s="30" t="s">
        <v>164</v>
      </c>
      <c r="E23" s="30" t="s">
        <v>768</v>
      </c>
      <c r="F23" s="30" t="s">
        <v>166</v>
      </c>
      <c r="G23" s="33" t="s">
        <v>30</v>
      </c>
      <c r="H23" s="44">
        <f>$K$5</f>
        <v>46342.0</v>
      </c>
      <c r="I23" s="44">
        <f>$K$6</f>
        <v>46367.0</v>
      </c>
      <c r="J23" s="33"/>
      <c r="K23" s="33" t="s">
        <v>245</v>
      </c>
      <c r="L23" s="33"/>
      <c r="M23" s="45" t="str">
        <f>IF(L23="Compliant",1,IF(L23="Partially Compliant",0.5,IF(L23="Non-Compliant",0,"")))</f>
        <v/>
      </c>
      <c r="N23" s="33"/>
      <c r="O23" s="33"/>
      <c r="P23" s="33"/>
      <c r="Q23" s="31"/>
    </row>
    <row r="24" spans="8:8" ht="35.05">
      <c r="A24" s="30" t="s">
        <v>769</v>
      </c>
      <c r="B24" s="30" t="s">
        <v>167</v>
      </c>
      <c r="C24" s="30" t="s">
        <v>168</v>
      </c>
      <c r="D24" s="30" t="s">
        <v>169</v>
      </c>
      <c r="E24" s="30" t="s">
        <v>770</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771</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35.05">
      <c r="A26" s="30" t="s">
        <v>772</v>
      </c>
      <c r="B26" s="30" t="s">
        <v>177</v>
      </c>
      <c r="C26" s="30" t="s">
        <v>178</v>
      </c>
      <c r="D26" s="30" t="s">
        <v>773</v>
      </c>
      <c r="E26" s="30" t="s">
        <v>774</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775</v>
      </c>
      <c r="B27" s="30" t="s">
        <v>182</v>
      </c>
      <c r="C27" s="30" t="s">
        <v>183</v>
      </c>
      <c r="D27" s="30" t="s">
        <v>184</v>
      </c>
      <c r="E27" s="30" t="s">
        <v>776</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35.05">
      <c r="A28" s="30" t="s">
        <v>777</v>
      </c>
      <c r="B28" s="30" t="s">
        <v>187</v>
      </c>
      <c r="C28" s="30" t="s">
        <v>188</v>
      </c>
      <c r="D28" s="30" t="s">
        <v>189</v>
      </c>
      <c r="E28" s="30" t="s">
        <v>778</v>
      </c>
      <c r="F28" s="30" t="s">
        <v>191</v>
      </c>
      <c r="G28" s="33" t="s">
        <v>30</v>
      </c>
      <c r="H28" s="44">
        <f>$K$5</f>
        <v>46342.0</v>
      </c>
      <c r="I28" s="44">
        <f>$K$6</f>
        <v>46367.0</v>
      </c>
      <c r="J28" s="33"/>
      <c r="K28" s="33" t="s">
        <v>245</v>
      </c>
      <c r="L28" s="33"/>
      <c r="M28" s="45" t="str">
        <f>IF(L28="Compliant",1,IF(L28="Partially Compliant",0.5,IF(L28="Non-Compliant",0,"")))</f>
        <v/>
      </c>
      <c r="N28" s="33"/>
      <c r="O28" s="33"/>
      <c r="P28" s="33"/>
      <c r="Q28" s="31"/>
    </row>
    <row r="29" spans="8:8" ht="35.05">
      <c r="A29" s="30" t="s">
        <v>779</v>
      </c>
      <c r="B29" s="30" t="s">
        <v>192</v>
      </c>
      <c r="C29" s="30" t="s">
        <v>193</v>
      </c>
      <c r="D29" s="30" t="s">
        <v>194</v>
      </c>
      <c r="E29" s="30" t="s">
        <v>780</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781</v>
      </c>
      <c r="B30" s="30" t="s">
        <v>197</v>
      </c>
      <c r="C30" s="30" t="s">
        <v>198</v>
      </c>
      <c r="D30" s="30" t="s">
        <v>199</v>
      </c>
      <c r="E30" s="30" t="s">
        <v>782</v>
      </c>
      <c r="F30" s="30" t="s">
        <v>201</v>
      </c>
      <c r="G30" s="33" t="s">
        <v>30</v>
      </c>
      <c r="H30" s="44">
        <f>$K$5</f>
        <v>46342.0</v>
      </c>
      <c r="I30" s="44">
        <f>$K$6</f>
        <v>46367.0</v>
      </c>
      <c r="J30" s="33"/>
      <c r="K30" s="33" t="s">
        <v>245</v>
      </c>
      <c r="L30" s="33"/>
      <c r="M30" s="45" t="str">
        <f>IF(L30="Compliant",1,IF(L30="Partially Compliant",0.5,IF(L30="Non-Compliant",0,"")))</f>
        <v/>
      </c>
      <c r="N30" s="33"/>
      <c r="O30" s="33"/>
      <c r="P30" s="33"/>
      <c r="Q30" s="31"/>
    </row>
    <row r="31" spans="8:8" ht="35.05">
      <c r="A31" s="30" t="s">
        <v>783</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784</v>
      </c>
      <c r="B32" s="30" t="s">
        <v>208</v>
      </c>
      <c r="C32" s="30" t="s">
        <v>209</v>
      </c>
      <c r="D32" s="30" t="s">
        <v>210</v>
      </c>
      <c r="E32" s="30" t="s">
        <v>785</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786</v>
      </c>
      <c r="B33" s="30" t="s">
        <v>213</v>
      </c>
      <c r="C33" s="30" t="s">
        <v>214</v>
      </c>
      <c r="D33" s="30" t="s">
        <v>215</v>
      </c>
      <c r="E33" s="30" t="s">
        <v>787</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23.85">
      <c r="A34" s="30" t="s">
        <v>788</v>
      </c>
      <c r="B34" s="30" t="s">
        <v>218</v>
      </c>
      <c r="C34" s="30" t="s">
        <v>219</v>
      </c>
      <c r="D34" s="30" t="s">
        <v>220</v>
      </c>
      <c r="E34" s="30" t="s">
        <v>789</v>
      </c>
      <c r="F34" s="30" t="s">
        <v>222</v>
      </c>
      <c r="G34" s="33" t="s">
        <v>30</v>
      </c>
      <c r="H34" s="44">
        <f>$K$5</f>
        <v>46342.0</v>
      </c>
      <c r="I34" s="44">
        <f>$K$6</f>
        <v>46367.0</v>
      </c>
      <c r="J34" s="33"/>
      <c r="K34" s="33" t="s">
        <v>245</v>
      </c>
      <c r="L34" s="33"/>
      <c r="M34" s="45" t="str">
        <f>IF(L34="Compliant",1,IF(L34="Partially Compliant",0.5,IF(L34="Non-Compliant",0,"")))</f>
        <v/>
      </c>
      <c r="N34" s="33"/>
      <c r="O34" s="33"/>
      <c r="P34" s="33"/>
      <c r="Q34" s="31"/>
    </row>
    <row r="35" spans="8:8" ht="35.05">
      <c r="A35" s="30" t="s">
        <v>790</v>
      </c>
      <c r="B35" s="30" t="s">
        <v>223</v>
      </c>
      <c r="C35" s="30" t="s">
        <v>224</v>
      </c>
      <c r="D35" s="30" t="s">
        <v>225</v>
      </c>
      <c r="E35" s="30" t="s">
        <v>791</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23.85">
      <c r="A36" s="30" t="s">
        <v>792</v>
      </c>
      <c r="B36" s="30" t="s">
        <v>228</v>
      </c>
      <c r="C36" s="30" t="s">
        <v>229</v>
      </c>
      <c r="D36" s="30" t="s">
        <v>230</v>
      </c>
      <c r="E36" s="30" t="s">
        <v>793</v>
      </c>
      <c r="F36" s="30" t="s">
        <v>232</v>
      </c>
      <c r="G36" s="33" t="s">
        <v>30</v>
      </c>
      <c r="H36" s="44">
        <f>$K$5</f>
        <v>46342.0</v>
      </c>
      <c r="I36" s="44">
        <f>$K$6</f>
        <v>46367.0</v>
      </c>
      <c r="J36" s="33"/>
      <c r="K36" s="33" t="s">
        <v>245</v>
      </c>
      <c r="L36" s="33"/>
      <c r="M36" s="45" t="str">
        <f>IF(L36="Compliant",1,IF(L36="Partially Compliant",0.5,IF(L36="Non-Compliant",0,"")))</f>
        <v/>
      </c>
      <c r="N36" s="33"/>
      <c r="O36" s="33"/>
      <c r="P36" s="33"/>
      <c r="Q36" s="31"/>
    </row>
    <row r="37" spans="8:8" ht="35.05">
      <c r="A37" s="30" t="s">
        <v>794</v>
      </c>
      <c r="B37" s="43" t="s">
        <v>795</v>
      </c>
      <c r="C37" s="30" t="s">
        <v>796</v>
      </c>
      <c r="D37" s="30" t="s">
        <v>797</v>
      </c>
      <c r="E37" s="30" t="s">
        <v>798</v>
      </c>
      <c r="F37" s="30" t="s">
        <v>799</v>
      </c>
      <c r="G37" s="33" t="s">
        <v>30</v>
      </c>
      <c r="H37" s="44">
        <f>$K$5</f>
        <v>46342.0</v>
      </c>
      <c r="I37" s="44">
        <f>$K$6</f>
        <v>46367.0</v>
      </c>
      <c r="J37" s="33"/>
      <c r="K37" s="33" t="s">
        <v>245</v>
      </c>
      <c r="L37" s="33"/>
      <c r="M37" s="45" t="str">
        <f>IF(L37="Compliant",1,IF(L37="Partially Compliant",0.5,IF(L37="Non-Compliant",0,"")))</f>
        <v/>
      </c>
      <c r="N37" s="33"/>
      <c r="O37" s="33"/>
      <c r="P37" s="33"/>
      <c r="Q37" s="31"/>
    </row>
    <row r="38" spans="8:8" ht="35.05">
      <c r="A38" s="30" t="s">
        <v>800</v>
      </c>
      <c r="B38" s="43" t="s">
        <v>801</v>
      </c>
      <c r="C38" s="30" t="s">
        <v>802</v>
      </c>
      <c r="D38" s="30" t="s">
        <v>803</v>
      </c>
      <c r="E38" s="30" t="s">
        <v>804</v>
      </c>
      <c r="F38" s="30" t="s">
        <v>805</v>
      </c>
      <c r="G38" s="33" t="s">
        <v>30</v>
      </c>
      <c r="H38" s="44">
        <f>$K$5</f>
        <v>46342.0</v>
      </c>
      <c r="I38" s="44">
        <f>$K$6</f>
        <v>46367.0</v>
      </c>
      <c r="J38" s="33"/>
      <c r="K38" s="33" t="s">
        <v>245</v>
      </c>
      <c r="L38" s="33"/>
      <c r="M38" s="45" t="str">
        <f>IF(L38="Compliant",1,IF(L38="Partially Compliant",0.5,IF(L38="Non-Compliant",0,"")))</f>
        <v/>
      </c>
      <c r="N38" s="33"/>
      <c r="O38" s="33"/>
      <c r="P38" s="33"/>
      <c r="Q38" s="31"/>
    </row>
    <row r="39" spans="8:8" ht="35.05">
      <c r="A39" s="30" t="s">
        <v>806</v>
      </c>
      <c r="B39" s="43" t="s">
        <v>807</v>
      </c>
      <c r="C39" s="30" t="s">
        <v>808</v>
      </c>
      <c r="D39" s="30" t="s">
        <v>809</v>
      </c>
      <c r="E39" s="30" t="s">
        <v>810</v>
      </c>
      <c r="F39" s="30" t="s">
        <v>811</v>
      </c>
      <c r="G39" s="33" t="s">
        <v>30</v>
      </c>
      <c r="H39" s="44">
        <f>$K$5</f>
        <v>46342.0</v>
      </c>
      <c r="I39" s="44">
        <f>$K$6</f>
        <v>46367.0</v>
      </c>
      <c r="J39" s="33"/>
      <c r="K39" s="33" t="s">
        <v>245</v>
      </c>
      <c r="L39" s="33"/>
      <c r="M39" s="45" t="str">
        <f>IF(L39="Compliant",1,IF(L39="Partially Compliant",0.5,IF(L39="Non-Compliant",0,"")))</f>
        <v/>
      </c>
      <c r="N39" s="33"/>
      <c r="O39" s="33"/>
      <c r="P39" s="33"/>
      <c r="Q39" s="31"/>
    </row>
    <row r="40" spans="8:8" ht="23.85">
      <c r="A40" s="30" t="s">
        <v>812</v>
      </c>
      <c r="B40" s="43" t="s">
        <v>813</v>
      </c>
      <c r="C40" s="30" t="s">
        <v>814</v>
      </c>
      <c r="D40" s="30" t="s">
        <v>815</v>
      </c>
      <c r="E40" s="30" t="s">
        <v>816</v>
      </c>
      <c r="F40" s="30" t="s">
        <v>817</v>
      </c>
      <c r="G40" s="33" t="s">
        <v>30</v>
      </c>
      <c r="H40" s="44">
        <f>$K$5</f>
        <v>46342.0</v>
      </c>
      <c r="I40" s="44">
        <f>$K$6</f>
        <v>46367.0</v>
      </c>
      <c r="J40" s="33"/>
      <c r="K40" s="33" t="s">
        <v>245</v>
      </c>
      <c r="L40" s="33"/>
      <c r="M40" s="45" t="str">
        <f>IF(L40="Compliant",1,IF(L40="Partially Compliant",0.5,IF(L40="Non-Compliant",0,"")))</f>
        <v/>
      </c>
      <c r="N40" s="33"/>
      <c r="O40" s="33"/>
      <c r="P40" s="33"/>
      <c r="Q40" s="31"/>
    </row>
    <row r="42" spans="8:8" ht="15.0">
      <c r="A42" s="27" t="s">
        <v>439</v>
      </c>
    </row>
  </sheetData>
  <autoFilter ref="A14:Q40">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G15:G40">
    <cfRule type="cellIs" operator="equal" priority="5" dxfId="27">
      <formula>"High"</formula>
    </cfRule>
  </conditionalFormatting>
  <conditionalFormatting sqref="L15:L40">
    <cfRule type="cellIs" operator="equal" priority="2" dxfId="28">
      <formula>"Compliant"</formula>
    </cfRule>
    <cfRule type="cellIs" operator="equal" priority="3" dxfId="29">
      <formula>"Partially Compliant"</formula>
    </cfRule>
    <cfRule type="cellIs" operator="equal" priority="4" dxfId="30">
      <formula>"Non-Compliant"</formula>
    </cfRule>
  </conditionalFormatting>
  <dataValidations count="4">
    <dataValidation allowBlank="1" type="list" errorStyle="stop" sqref="G15:G40">
      <formula1>"High,Medium,Low"</formula1>
      <formula2>0</formula2>
    </dataValidation>
    <dataValidation allowBlank="1" type="list" errorStyle="stop" sqref="K15:K40">
      <formula1>"Not Started,In Progress,Fieldwork Done,Reported,Completed"</formula1>
      <formula2>0</formula2>
    </dataValidation>
    <dataValidation allowBlank="1" type="list" errorStyle="stop" sqref="L15:L40">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2.xml><?xml version="1.0" encoding="utf-8"?>
<worksheet xmlns:r="http://schemas.openxmlformats.org/officeDocument/2006/relationships" xmlns="http://schemas.openxmlformats.org/spreadsheetml/2006/main">
  <sheetPr>
    <tabColor rgb="FF2E75B6"/>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818</v>
      </c>
      <c r="N1" s="34" t="s">
        <v>277</v>
      </c>
    </row>
    <row r="2" spans="8:8" ht="15.0">
      <c r="A2" s="12" t="s">
        <v>278</v>
      </c>
    </row>
    <row r="4" spans="8:8" ht="15.75" customHeight="1">
      <c r="A4" s="35" t="s">
        <v>59</v>
      </c>
      <c r="B4" s="35"/>
      <c r="C4" s="36" t="s">
        <v>78</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79</v>
      </c>
      <c r="D6" s="36"/>
      <c r="E6" s="36"/>
      <c r="F6" s="36"/>
      <c r="H6" s="35" t="s">
        <v>283</v>
      </c>
      <c r="I6" s="35"/>
      <c r="J6" s="35"/>
      <c r="K6" s="38">
        <v>46367.0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819</v>
      </c>
      <c r="D8" s="36"/>
      <c r="E8" s="36"/>
      <c r="F8" s="36"/>
      <c r="H8" s="35" t="s">
        <v>34</v>
      </c>
      <c r="I8" s="35"/>
      <c r="J8" s="35"/>
      <c r="K8" s="40">
        <f>COUNTIF(K15:K38,"Completed")</f>
        <v>0.0</v>
      </c>
    </row>
    <row r="9" spans="8:8" ht="15.75" customHeight="1">
      <c r="A9" s="35" t="s">
        <v>287</v>
      </c>
      <c r="B9" s="35"/>
      <c r="C9" s="36" t="s">
        <v>820</v>
      </c>
      <c r="D9" s="36"/>
      <c r="E9" s="36"/>
      <c r="F9" s="36"/>
      <c r="H9" s="35" t="s">
        <v>64</v>
      </c>
      <c r="I9" s="35"/>
      <c r="J9" s="35"/>
      <c r="K9" s="40">
        <f>COUNTIF(L15:L38,"Compliant")</f>
        <v>0.0</v>
      </c>
    </row>
    <row r="10" spans="8:8" ht="15.75" customHeight="1">
      <c r="A10" s="35" t="s">
        <v>289</v>
      </c>
      <c r="B10" s="35"/>
      <c r="C10" s="36" t="s">
        <v>821</v>
      </c>
      <c r="D10" s="36"/>
      <c r="E10" s="36"/>
      <c r="F10" s="36"/>
      <c r="H10" s="35" t="s">
        <v>36</v>
      </c>
      <c r="I10" s="35"/>
      <c r="J10" s="35"/>
      <c r="K10" s="40">
        <f>COUNTIF(L15:L38,"Partially Compliant")</f>
        <v>0.0</v>
      </c>
    </row>
    <row r="11" spans="8:8" ht="15.75" customHeight="1">
      <c r="A11" s="35" t="s">
        <v>291</v>
      </c>
      <c r="B11" s="35"/>
      <c r="C11" s="39" t="s">
        <v>146</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822</v>
      </c>
      <c r="B15" s="30" t="s">
        <v>122</v>
      </c>
      <c r="C15" s="30" t="s">
        <v>123</v>
      </c>
      <c r="D15" s="30" t="s">
        <v>124</v>
      </c>
      <c r="E15" s="30" t="s">
        <v>823</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824</v>
      </c>
      <c r="B16" s="30" t="s">
        <v>127</v>
      </c>
      <c r="C16" s="30" t="s">
        <v>128</v>
      </c>
      <c r="D16" s="30" t="s">
        <v>129</v>
      </c>
      <c r="E16" s="30" t="s">
        <v>825</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826</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827</v>
      </c>
      <c r="B18" s="30" t="s">
        <v>28</v>
      </c>
      <c r="C18" s="30" t="s">
        <v>137</v>
      </c>
      <c r="D18" s="30" t="s">
        <v>138</v>
      </c>
      <c r="E18" s="30" t="s">
        <v>828</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829</v>
      </c>
      <c r="B19" s="30" t="s">
        <v>141</v>
      </c>
      <c r="C19" s="30" t="s">
        <v>142</v>
      </c>
      <c r="D19" s="30" t="s">
        <v>143</v>
      </c>
      <c r="E19" s="30" t="s">
        <v>830</v>
      </c>
      <c r="F19" s="30" t="s">
        <v>145</v>
      </c>
      <c r="G19" s="33" t="s">
        <v>146</v>
      </c>
      <c r="H19" s="44">
        <f>$K$5</f>
        <v>46342.0</v>
      </c>
      <c r="I19" s="44">
        <f>$K$6</f>
        <v>46367.0</v>
      </c>
      <c r="J19" s="33"/>
      <c r="K19" s="33" t="s">
        <v>245</v>
      </c>
      <c r="L19" s="33"/>
      <c r="M19" s="45" t="str">
        <f>IF(L19="Compliant",1,IF(L19="Partially Compliant",0.5,IF(L19="Non-Compliant",0,"")))</f>
        <v/>
      </c>
      <c r="N19" s="33"/>
      <c r="O19" s="33"/>
      <c r="P19" s="33"/>
      <c r="Q19" s="31"/>
    </row>
    <row r="20" spans="8:8" ht="46.25">
      <c r="A20" s="30" t="s">
        <v>831</v>
      </c>
      <c r="B20" s="30" t="s">
        <v>147</v>
      </c>
      <c r="C20" s="30" t="s">
        <v>148</v>
      </c>
      <c r="D20" s="30" t="s">
        <v>149</v>
      </c>
      <c r="E20" s="30" t="s">
        <v>832</v>
      </c>
      <c r="F20" s="30" t="s">
        <v>151</v>
      </c>
      <c r="G20" s="33" t="s">
        <v>146</v>
      </c>
      <c r="H20" s="44">
        <f>$K$5</f>
        <v>46342.0</v>
      </c>
      <c r="I20" s="44">
        <f>$K$6</f>
        <v>46367.0</v>
      </c>
      <c r="J20" s="33"/>
      <c r="K20" s="33" t="s">
        <v>245</v>
      </c>
      <c r="L20" s="33"/>
      <c r="M20" s="45" t="str">
        <f>IF(L20="Compliant",1,IF(L20="Partially Compliant",0.5,IF(L20="Non-Compliant",0,"")))</f>
        <v/>
      </c>
      <c r="N20" s="33"/>
      <c r="O20" s="33"/>
      <c r="P20" s="33"/>
      <c r="Q20" s="31"/>
    </row>
    <row r="21" spans="8:8" ht="35.05">
      <c r="A21" s="30" t="s">
        <v>833</v>
      </c>
      <c r="B21" s="30" t="s">
        <v>152</v>
      </c>
      <c r="C21" s="30" t="s">
        <v>153</v>
      </c>
      <c r="D21" s="30" t="s">
        <v>154</v>
      </c>
      <c r="E21" s="30" t="s">
        <v>155</v>
      </c>
      <c r="F21" s="30" t="s">
        <v>156</v>
      </c>
      <c r="G21" s="33" t="s">
        <v>146</v>
      </c>
      <c r="H21" s="44">
        <f>$K$5</f>
        <v>46342.0</v>
      </c>
      <c r="I21" s="44">
        <f>$K$6</f>
        <v>46367.0</v>
      </c>
      <c r="J21" s="33"/>
      <c r="K21" s="33" t="s">
        <v>245</v>
      </c>
      <c r="L21" s="33"/>
      <c r="M21" s="45" t="str">
        <f>IF(L21="Compliant",1,IF(L21="Partially Compliant",0.5,IF(L21="Non-Compliant",0,"")))</f>
        <v/>
      </c>
      <c r="N21" s="33"/>
      <c r="O21" s="33"/>
      <c r="P21" s="33"/>
      <c r="Q21" s="31"/>
    </row>
    <row r="22" spans="8:8" ht="35.05">
      <c r="A22" s="30" t="s">
        <v>834</v>
      </c>
      <c r="B22" s="30" t="s">
        <v>157</v>
      </c>
      <c r="C22" s="30" t="s">
        <v>158</v>
      </c>
      <c r="D22" s="30" t="s">
        <v>159</v>
      </c>
      <c r="E22" s="30" t="s">
        <v>160</v>
      </c>
      <c r="F22" s="30" t="s">
        <v>161</v>
      </c>
      <c r="G22" s="33" t="s">
        <v>146</v>
      </c>
      <c r="H22" s="44">
        <f>$K$5</f>
        <v>46342.0</v>
      </c>
      <c r="I22" s="44">
        <f>$K$6</f>
        <v>46367.0</v>
      </c>
      <c r="J22" s="33"/>
      <c r="K22" s="33" t="s">
        <v>245</v>
      </c>
      <c r="L22" s="33"/>
      <c r="M22" s="45" t="str">
        <f>IF(L22="Compliant",1,IF(L22="Partially Compliant",0.5,IF(L22="Non-Compliant",0,"")))</f>
        <v/>
      </c>
      <c r="N22" s="33"/>
      <c r="O22" s="33"/>
      <c r="P22" s="33"/>
      <c r="Q22" s="31"/>
    </row>
    <row r="23" spans="8:8" ht="35.05">
      <c r="A23" s="30" t="s">
        <v>835</v>
      </c>
      <c r="B23" s="30" t="s">
        <v>162</v>
      </c>
      <c r="C23" s="30" t="s">
        <v>163</v>
      </c>
      <c r="D23" s="30" t="s">
        <v>164</v>
      </c>
      <c r="E23" s="30" t="s">
        <v>836</v>
      </c>
      <c r="F23" s="30" t="s">
        <v>166</v>
      </c>
      <c r="G23" s="33" t="s">
        <v>146</v>
      </c>
      <c r="H23" s="44">
        <f>$K$5</f>
        <v>46342.0</v>
      </c>
      <c r="I23" s="44">
        <f>$K$6</f>
        <v>46367.0</v>
      </c>
      <c r="J23" s="33"/>
      <c r="K23" s="33" t="s">
        <v>245</v>
      </c>
      <c r="L23" s="33"/>
      <c r="M23" s="45" t="str">
        <f>IF(L23="Compliant",1,IF(L23="Partially Compliant",0.5,IF(L23="Non-Compliant",0,"")))</f>
        <v/>
      </c>
      <c r="N23" s="33"/>
      <c r="O23" s="33"/>
      <c r="P23" s="33"/>
      <c r="Q23" s="31"/>
    </row>
    <row r="24" spans="8:8" ht="35.05">
      <c r="A24" s="30" t="s">
        <v>837</v>
      </c>
      <c r="B24" s="30" t="s">
        <v>167</v>
      </c>
      <c r="C24" s="30" t="s">
        <v>168</v>
      </c>
      <c r="D24" s="30" t="s">
        <v>169</v>
      </c>
      <c r="E24" s="30" t="s">
        <v>838</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839</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46.25">
      <c r="A26" s="30" t="s">
        <v>840</v>
      </c>
      <c r="B26" s="30" t="s">
        <v>177</v>
      </c>
      <c r="C26" s="30" t="s">
        <v>178</v>
      </c>
      <c r="D26" s="30" t="s">
        <v>841</v>
      </c>
      <c r="E26" s="30" t="s">
        <v>842</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843</v>
      </c>
      <c r="B27" s="30" t="s">
        <v>182</v>
      </c>
      <c r="C27" s="30" t="s">
        <v>183</v>
      </c>
      <c r="D27" s="30" t="s">
        <v>184</v>
      </c>
      <c r="E27" s="30" t="s">
        <v>844</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46.25">
      <c r="A28" s="30" t="s">
        <v>845</v>
      </c>
      <c r="B28" s="30" t="s">
        <v>187</v>
      </c>
      <c r="C28" s="30" t="s">
        <v>188</v>
      </c>
      <c r="D28" s="30" t="s">
        <v>189</v>
      </c>
      <c r="E28" s="30" t="s">
        <v>846</v>
      </c>
      <c r="F28" s="30" t="s">
        <v>191</v>
      </c>
      <c r="G28" s="33" t="s">
        <v>146</v>
      </c>
      <c r="H28" s="44">
        <f>$K$5</f>
        <v>46342.0</v>
      </c>
      <c r="I28" s="44">
        <f>$K$6</f>
        <v>46367.0</v>
      </c>
      <c r="J28" s="33"/>
      <c r="K28" s="33" t="s">
        <v>245</v>
      </c>
      <c r="L28" s="33"/>
      <c r="M28" s="45" t="str">
        <f>IF(L28="Compliant",1,IF(L28="Partially Compliant",0.5,IF(L28="Non-Compliant",0,"")))</f>
        <v/>
      </c>
      <c r="N28" s="33"/>
      <c r="O28" s="33"/>
      <c r="P28" s="33"/>
      <c r="Q28" s="31"/>
    </row>
    <row r="29" spans="8:8" ht="35.05">
      <c r="A29" s="30" t="s">
        <v>847</v>
      </c>
      <c r="B29" s="30" t="s">
        <v>192</v>
      </c>
      <c r="C29" s="30" t="s">
        <v>193</v>
      </c>
      <c r="D29" s="30" t="s">
        <v>194</v>
      </c>
      <c r="E29" s="30" t="s">
        <v>848</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849</v>
      </c>
      <c r="B30" s="30" t="s">
        <v>197</v>
      </c>
      <c r="C30" s="30" t="s">
        <v>198</v>
      </c>
      <c r="D30" s="30" t="s">
        <v>199</v>
      </c>
      <c r="E30" s="30" t="s">
        <v>850</v>
      </c>
      <c r="F30" s="30" t="s">
        <v>201</v>
      </c>
      <c r="G30" s="33" t="s">
        <v>146</v>
      </c>
      <c r="H30" s="44">
        <f>$K$5</f>
        <v>46342.0</v>
      </c>
      <c r="I30" s="44">
        <f>$K$6</f>
        <v>46367.0</v>
      </c>
      <c r="J30" s="33"/>
      <c r="K30" s="33" t="s">
        <v>245</v>
      </c>
      <c r="L30" s="33"/>
      <c r="M30" s="45" t="str">
        <f>IF(L30="Compliant",1,IF(L30="Partially Compliant",0.5,IF(L30="Non-Compliant",0,"")))</f>
        <v/>
      </c>
      <c r="N30" s="33"/>
      <c r="O30" s="33"/>
      <c r="P30" s="33"/>
      <c r="Q30" s="31"/>
    </row>
    <row r="31" spans="8:8" ht="35.05">
      <c r="A31" s="30" t="s">
        <v>851</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852</v>
      </c>
      <c r="B32" s="30" t="s">
        <v>208</v>
      </c>
      <c r="C32" s="30" t="s">
        <v>209</v>
      </c>
      <c r="D32" s="30" t="s">
        <v>210</v>
      </c>
      <c r="E32" s="30" t="s">
        <v>853</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854</v>
      </c>
      <c r="B33" s="30" t="s">
        <v>213</v>
      </c>
      <c r="C33" s="30" t="s">
        <v>214</v>
      </c>
      <c r="D33" s="30" t="s">
        <v>215</v>
      </c>
      <c r="E33" s="30" t="s">
        <v>855</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35.05">
      <c r="A34" s="30" t="s">
        <v>856</v>
      </c>
      <c r="B34" s="30" t="s">
        <v>218</v>
      </c>
      <c r="C34" s="30" t="s">
        <v>219</v>
      </c>
      <c r="D34" s="30" t="s">
        <v>220</v>
      </c>
      <c r="E34" s="30" t="s">
        <v>857</v>
      </c>
      <c r="F34" s="30" t="s">
        <v>222</v>
      </c>
      <c r="G34" s="33" t="s">
        <v>146</v>
      </c>
      <c r="H34" s="44">
        <f>$K$5</f>
        <v>46342.0</v>
      </c>
      <c r="I34" s="44">
        <f>$K$6</f>
        <v>46367.0</v>
      </c>
      <c r="J34" s="33"/>
      <c r="K34" s="33" t="s">
        <v>245</v>
      </c>
      <c r="L34" s="33"/>
      <c r="M34" s="45" t="str">
        <f>IF(L34="Compliant",1,IF(L34="Partially Compliant",0.5,IF(L34="Non-Compliant",0,"")))</f>
        <v/>
      </c>
      <c r="N34" s="33"/>
      <c r="O34" s="33"/>
      <c r="P34" s="33"/>
      <c r="Q34" s="31"/>
    </row>
    <row r="35" spans="8:8" ht="35.05">
      <c r="A35" s="30" t="s">
        <v>858</v>
      </c>
      <c r="B35" s="30" t="s">
        <v>223</v>
      </c>
      <c r="C35" s="30" t="s">
        <v>224</v>
      </c>
      <c r="D35" s="30" t="s">
        <v>225</v>
      </c>
      <c r="E35" s="30" t="s">
        <v>859</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35.05">
      <c r="A36" s="30" t="s">
        <v>860</v>
      </c>
      <c r="B36" s="30" t="s">
        <v>228</v>
      </c>
      <c r="C36" s="30" t="s">
        <v>229</v>
      </c>
      <c r="D36" s="30" t="s">
        <v>230</v>
      </c>
      <c r="E36" s="30" t="s">
        <v>861</v>
      </c>
      <c r="F36" s="30" t="s">
        <v>232</v>
      </c>
      <c r="G36" s="33" t="s">
        <v>146</v>
      </c>
      <c r="H36" s="44">
        <f>$K$5</f>
        <v>46342.0</v>
      </c>
      <c r="I36" s="44">
        <f>$K$6</f>
        <v>46367.0</v>
      </c>
      <c r="J36" s="33"/>
      <c r="K36" s="33" t="s">
        <v>245</v>
      </c>
      <c r="L36" s="33"/>
      <c r="M36" s="45" t="str">
        <f>IF(L36="Compliant",1,IF(L36="Partially Compliant",0.5,IF(L36="Non-Compliant",0,"")))</f>
        <v/>
      </c>
      <c r="N36" s="33"/>
      <c r="O36" s="33"/>
      <c r="P36" s="33"/>
      <c r="Q36" s="31"/>
    </row>
    <row r="37" spans="8:8" ht="35.05">
      <c r="A37" s="30" t="s">
        <v>862</v>
      </c>
      <c r="B37" s="43" t="s">
        <v>863</v>
      </c>
      <c r="C37" s="30" t="s">
        <v>864</v>
      </c>
      <c r="D37" s="30" t="s">
        <v>865</v>
      </c>
      <c r="E37" s="30" t="s">
        <v>866</v>
      </c>
      <c r="F37" s="30" t="s">
        <v>867</v>
      </c>
      <c r="G37" s="33" t="s">
        <v>30</v>
      </c>
      <c r="H37" s="44">
        <f>$K$5</f>
        <v>46342.0</v>
      </c>
      <c r="I37" s="44">
        <f>$K$6</f>
        <v>46367.0</v>
      </c>
      <c r="J37" s="33"/>
      <c r="K37" s="33" t="s">
        <v>245</v>
      </c>
      <c r="L37" s="33"/>
      <c r="M37" s="45" t="str">
        <f>IF(L37="Compliant",1,IF(L37="Partially Compliant",0.5,IF(L37="Non-Compliant",0,"")))</f>
        <v/>
      </c>
      <c r="N37" s="33"/>
      <c r="O37" s="33"/>
      <c r="P37" s="33"/>
      <c r="Q37" s="31"/>
    </row>
    <row r="38" spans="8:8" ht="35.05">
      <c r="A38" s="30" t="s">
        <v>868</v>
      </c>
      <c r="B38" s="43" t="s">
        <v>869</v>
      </c>
      <c r="C38" s="30" t="s">
        <v>870</v>
      </c>
      <c r="D38" s="30" t="s">
        <v>871</v>
      </c>
      <c r="E38" s="30" t="s">
        <v>872</v>
      </c>
      <c r="F38" s="30" t="s">
        <v>873</v>
      </c>
      <c r="G38" s="33" t="s">
        <v>146</v>
      </c>
      <c r="H38" s="44">
        <f>$K$5</f>
        <v>46342.0</v>
      </c>
      <c r="I38" s="44">
        <f>$K$6</f>
        <v>46367.0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31">
      <formula>"Partially Compliant"</formula>
    </cfRule>
    <cfRule type="cellIs" operator="equal" priority="4" dxfId="32">
      <formula>"Non-Compliant"</formula>
    </cfRule>
    <cfRule type="cellIs" operator="equal" priority="2" dxfId="33">
      <formula>"Compliant"</formula>
    </cfRule>
  </conditionalFormatting>
  <conditionalFormatting sqref="G15:G38">
    <cfRule type="cellIs" operator="equal" priority="5" dxfId="34">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3.xml><?xml version="1.0" encoding="utf-8"?>
<worksheet xmlns:r="http://schemas.openxmlformats.org/officeDocument/2006/relationships" xmlns="http://schemas.openxmlformats.org/spreadsheetml/2006/main">
  <sheetPr>
    <tabColor rgb="FF2E75B6"/>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874</v>
      </c>
      <c r="N1" s="34" t="s">
        <v>277</v>
      </c>
    </row>
    <row r="2" spans="8:8" ht="15.0">
      <c r="A2" s="12" t="s">
        <v>278</v>
      </c>
    </row>
    <row r="4" spans="8:8" ht="15.75" customHeight="1">
      <c r="A4" s="35" t="s">
        <v>59</v>
      </c>
      <c r="B4" s="35"/>
      <c r="C4" s="36" t="s">
        <v>80</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875</v>
      </c>
      <c r="D8" s="36"/>
      <c r="E8" s="36"/>
      <c r="F8" s="36"/>
      <c r="H8" s="35" t="s">
        <v>34</v>
      </c>
      <c r="I8" s="35"/>
      <c r="J8" s="35"/>
      <c r="K8" s="40">
        <f>COUNTIF(K15:K38,"Completed")</f>
        <v>0.0</v>
      </c>
    </row>
    <row r="9" spans="8:8" ht="15.75" customHeight="1">
      <c r="A9" s="35" t="s">
        <v>287</v>
      </c>
      <c r="B9" s="35"/>
      <c r="C9" s="36" t="s">
        <v>876</v>
      </c>
      <c r="D9" s="36"/>
      <c r="E9" s="36"/>
      <c r="F9" s="36"/>
      <c r="H9" s="35" t="s">
        <v>64</v>
      </c>
      <c r="I9" s="35"/>
      <c r="J9" s="35"/>
      <c r="K9" s="40">
        <f>COUNTIF(L15:L38,"Compliant")</f>
        <v>0.0</v>
      </c>
    </row>
    <row r="10" spans="8:8" ht="15.75" customHeight="1">
      <c r="A10" s="35" t="s">
        <v>289</v>
      </c>
      <c r="B10" s="35"/>
      <c r="C10" s="36" t="s">
        <v>877</v>
      </c>
      <c r="D10" s="36"/>
      <c r="E10" s="36"/>
      <c r="F10" s="36"/>
      <c r="H10" s="35" t="s">
        <v>36</v>
      </c>
      <c r="I10" s="35"/>
      <c r="J10" s="35"/>
      <c r="K10" s="40">
        <f>COUNTIF(L15:L38,"Partially Compliant")</f>
        <v>0.0</v>
      </c>
    </row>
    <row r="11" spans="8:8" ht="15.75" customHeight="1">
      <c r="A11" s="35" t="s">
        <v>291</v>
      </c>
      <c r="B11" s="35"/>
      <c r="C11" s="39" t="s">
        <v>30</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878</v>
      </c>
      <c r="B15" s="30" t="s">
        <v>122</v>
      </c>
      <c r="C15" s="30" t="s">
        <v>123</v>
      </c>
      <c r="D15" s="30" t="s">
        <v>124</v>
      </c>
      <c r="E15" s="30" t="s">
        <v>879</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880</v>
      </c>
      <c r="B16" s="30" t="s">
        <v>127</v>
      </c>
      <c r="C16" s="30" t="s">
        <v>128</v>
      </c>
      <c r="D16" s="30" t="s">
        <v>129</v>
      </c>
      <c r="E16" s="30" t="s">
        <v>881</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882</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883</v>
      </c>
      <c r="B18" s="30" t="s">
        <v>28</v>
      </c>
      <c r="C18" s="30" t="s">
        <v>137</v>
      </c>
      <c r="D18" s="30" t="s">
        <v>138</v>
      </c>
      <c r="E18" s="30" t="s">
        <v>884</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885</v>
      </c>
      <c r="B19" s="30" t="s">
        <v>141</v>
      </c>
      <c r="C19" s="30" t="s">
        <v>142</v>
      </c>
      <c r="D19" s="30" t="s">
        <v>143</v>
      </c>
      <c r="E19" s="30" t="s">
        <v>886</v>
      </c>
      <c r="F19" s="30" t="s">
        <v>145</v>
      </c>
      <c r="G19" s="33" t="s">
        <v>30</v>
      </c>
      <c r="H19" s="44">
        <f>$K$5</f>
        <v>46342.0</v>
      </c>
      <c r="I19" s="44">
        <f>$K$6</f>
        <v>46367.0</v>
      </c>
      <c r="J19" s="33"/>
      <c r="K19" s="33" t="s">
        <v>245</v>
      </c>
      <c r="L19" s="33"/>
      <c r="M19" s="45" t="str">
        <f>IF(L19="Compliant",1,IF(L19="Partially Compliant",0.5,IF(L19="Non-Compliant",0,"")))</f>
        <v/>
      </c>
      <c r="N19" s="33"/>
      <c r="O19" s="33"/>
      <c r="P19" s="33"/>
      <c r="Q19" s="31"/>
    </row>
    <row r="20" spans="8:8" ht="46.25">
      <c r="A20" s="30" t="s">
        <v>887</v>
      </c>
      <c r="B20" s="30" t="s">
        <v>147</v>
      </c>
      <c r="C20" s="30" t="s">
        <v>148</v>
      </c>
      <c r="D20" s="30" t="s">
        <v>149</v>
      </c>
      <c r="E20" s="30" t="s">
        <v>888</v>
      </c>
      <c r="F20" s="30" t="s">
        <v>151</v>
      </c>
      <c r="G20" s="33" t="s">
        <v>30</v>
      </c>
      <c r="H20" s="44">
        <f>$K$5</f>
        <v>46342.0</v>
      </c>
      <c r="I20" s="44">
        <f>$K$6</f>
        <v>46367.0</v>
      </c>
      <c r="J20" s="33"/>
      <c r="K20" s="33" t="s">
        <v>245</v>
      </c>
      <c r="L20" s="33"/>
      <c r="M20" s="45" t="str">
        <f>IF(L20="Compliant",1,IF(L20="Partially Compliant",0.5,IF(L20="Non-Compliant",0,"")))</f>
        <v/>
      </c>
      <c r="N20" s="33"/>
      <c r="O20" s="33"/>
      <c r="P20" s="33"/>
      <c r="Q20" s="31"/>
    </row>
    <row r="21" spans="8:8" ht="35.05">
      <c r="A21" s="30" t="s">
        <v>889</v>
      </c>
      <c r="B21" s="30" t="s">
        <v>152</v>
      </c>
      <c r="C21" s="30" t="s">
        <v>153</v>
      </c>
      <c r="D21" s="30" t="s">
        <v>154</v>
      </c>
      <c r="E21" s="30" t="s">
        <v>155</v>
      </c>
      <c r="F21" s="30" t="s">
        <v>156</v>
      </c>
      <c r="G21" s="33" t="s">
        <v>30</v>
      </c>
      <c r="H21" s="44">
        <f>$K$5</f>
        <v>46342.0</v>
      </c>
      <c r="I21" s="44">
        <f>$K$6</f>
        <v>46367.0</v>
      </c>
      <c r="J21" s="33"/>
      <c r="K21" s="33" t="s">
        <v>245</v>
      </c>
      <c r="L21" s="33"/>
      <c r="M21" s="45" t="str">
        <f>IF(L21="Compliant",1,IF(L21="Partially Compliant",0.5,IF(L21="Non-Compliant",0,"")))</f>
        <v/>
      </c>
      <c r="N21" s="33"/>
      <c r="O21" s="33"/>
      <c r="P21" s="33"/>
      <c r="Q21" s="31"/>
    </row>
    <row r="22" spans="8:8" ht="35.05">
      <c r="A22" s="30" t="s">
        <v>890</v>
      </c>
      <c r="B22" s="30" t="s">
        <v>157</v>
      </c>
      <c r="C22" s="30" t="s">
        <v>158</v>
      </c>
      <c r="D22" s="30" t="s">
        <v>159</v>
      </c>
      <c r="E22" s="30" t="s">
        <v>160</v>
      </c>
      <c r="F22" s="30" t="s">
        <v>161</v>
      </c>
      <c r="G22" s="33" t="s">
        <v>30</v>
      </c>
      <c r="H22" s="44">
        <f>$K$5</f>
        <v>46342.0</v>
      </c>
      <c r="I22" s="44">
        <f>$K$6</f>
        <v>46367.0</v>
      </c>
      <c r="J22" s="33"/>
      <c r="K22" s="33" t="s">
        <v>245</v>
      </c>
      <c r="L22" s="33"/>
      <c r="M22" s="45" t="str">
        <f>IF(L22="Compliant",1,IF(L22="Partially Compliant",0.5,IF(L22="Non-Compliant",0,"")))</f>
        <v/>
      </c>
      <c r="N22" s="33"/>
      <c r="O22" s="33"/>
      <c r="P22" s="33"/>
      <c r="Q22" s="31"/>
    </row>
    <row r="23" spans="8:8" ht="35.05">
      <c r="A23" s="30" t="s">
        <v>891</v>
      </c>
      <c r="B23" s="30" t="s">
        <v>162</v>
      </c>
      <c r="C23" s="30" t="s">
        <v>163</v>
      </c>
      <c r="D23" s="30" t="s">
        <v>164</v>
      </c>
      <c r="E23" s="30" t="s">
        <v>892</v>
      </c>
      <c r="F23" s="30" t="s">
        <v>166</v>
      </c>
      <c r="G23" s="33" t="s">
        <v>30</v>
      </c>
      <c r="H23" s="44">
        <f>$K$5</f>
        <v>46342.0</v>
      </c>
      <c r="I23" s="44">
        <f>$K$6</f>
        <v>46367.0</v>
      </c>
      <c r="J23" s="33"/>
      <c r="K23" s="33" t="s">
        <v>245</v>
      </c>
      <c r="L23" s="33"/>
      <c r="M23" s="45" t="str">
        <f>IF(L23="Compliant",1,IF(L23="Partially Compliant",0.5,IF(L23="Non-Compliant",0,"")))</f>
        <v/>
      </c>
      <c r="N23" s="33"/>
      <c r="O23" s="33"/>
      <c r="P23" s="33"/>
      <c r="Q23" s="31"/>
    </row>
    <row r="24" spans="8:8" ht="23.85">
      <c r="A24" s="30" t="s">
        <v>893</v>
      </c>
      <c r="B24" s="30" t="s">
        <v>167</v>
      </c>
      <c r="C24" s="30" t="s">
        <v>168</v>
      </c>
      <c r="D24" s="30" t="s">
        <v>169</v>
      </c>
      <c r="E24" s="30" t="s">
        <v>894</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895</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46.25">
      <c r="A26" s="30" t="s">
        <v>896</v>
      </c>
      <c r="B26" s="30" t="s">
        <v>177</v>
      </c>
      <c r="C26" s="30" t="s">
        <v>178</v>
      </c>
      <c r="D26" s="30" t="s">
        <v>897</v>
      </c>
      <c r="E26" s="30" t="s">
        <v>898</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899</v>
      </c>
      <c r="B27" s="30" t="s">
        <v>182</v>
      </c>
      <c r="C27" s="30" t="s">
        <v>183</v>
      </c>
      <c r="D27" s="30" t="s">
        <v>184</v>
      </c>
      <c r="E27" s="30" t="s">
        <v>900</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35.05">
      <c r="A28" s="30" t="s">
        <v>901</v>
      </c>
      <c r="B28" s="30" t="s">
        <v>187</v>
      </c>
      <c r="C28" s="30" t="s">
        <v>188</v>
      </c>
      <c r="D28" s="30" t="s">
        <v>189</v>
      </c>
      <c r="E28" s="30" t="s">
        <v>902</v>
      </c>
      <c r="F28" s="30" t="s">
        <v>191</v>
      </c>
      <c r="G28" s="33" t="s">
        <v>30</v>
      </c>
      <c r="H28" s="44">
        <f>$K$5</f>
        <v>46342.0</v>
      </c>
      <c r="I28" s="44">
        <f>$K$6</f>
        <v>46367.0</v>
      </c>
      <c r="J28" s="33"/>
      <c r="K28" s="33" t="s">
        <v>245</v>
      </c>
      <c r="L28" s="33"/>
      <c r="M28" s="45" t="str">
        <f>IF(L28="Compliant",1,IF(L28="Partially Compliant",0.5,IF(L28="Non-Compliant",0,"")))</f>
        <v/>
      </c>
      <c r="N28" s="33"/>
      <c r="O28" s="33"/>
      <c r="P28" s="33"/>
      <c r="Q28" s="31"/>
    </row>
    <row r="29" spans="8:8" ht="35.05">
      <c r="A29" s="30" t="s">
        <v>903</v>
      </c>
      <c r="B29" s="30" t="s">
        <v>192</v>
      </c>
      <c r="C29" s="30" t="s">
        <v>193</v>
      </c>
      <c r="D29" s="30" t="s">
        <v>194</v>
      </c>
      <c r="E29" s="30" t="s">
        <v>904</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905</v>
      </c>
      <c r="B30" s="30" t="s">
        <v>197</v>
      </c>
      <c r="C30" s="30" t="s">
        <v>198</v>
      </c>
      <c r="D30" s="30" t="s">
        <v>199</v>
      </c>
      <c r="E30" s="30" t="s">
        <v>906</v>
      </c>
      <c r="F30" s="30" t="s">
        <v>201</v>
      </c>
      <c r="G30" s="33" t="s">
        <v>30</v>
      </c>
      <c r="H30" s="44">
        <f>$K$5</f>
        <v>46342.0</v>
      </c>
      <c r="I30" s="44">
        <f>$K$6</f>
        <v>46367.0</v>
      </c>
      <c r="J30" s="33"/>
      <c r="K30" s="33" t="s">
        <v>245</v>
      </c>
      <c r="L30" s="33"/>
      <c r="M30" s="45" t="str">
        <f>IF(L30="Compliant",1,IF(L30="Partially Compliant",0.5,IF(L30="Non-Compliant",0,"")))</f>
        <v/>
      </c>
      <c r="N30" s="33"/>
      <c r="O30" s="33"/>
      <c r="P30" s="33"/>
      <c r="Q30" s="31"/>
    </row>
    <row r="31" spans="8:8" ht="35.05">
      <c r="A31" s="30" t="s">
        <v>907</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908</v>
      </c>
      <c r="B32" s="30" t="s">
        <v>208</v>
      </c>
      <c r="C32" s="30" t="s">
        <v>209</v>
      </c>
      <c r="D32" s="30" t="s">
        <v>210</v>
      </c>
      <c r="E32" s="30" t="s">
        <v>909</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910</v>
      </c>
      <c r="B33" s="30" t="s">
        <v>213</v>
      </c>
      <c r="C33" s="30" t="s">
        <v>214</v>
      </c>
      <c r="D33" s="30" t="s">
        <v>215</v>
      </c>
      <c r="E33" s="30" t="s">
        <v>911</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35.05">
      <c r="A34" s="30" t="s">
        <v>912</v>
      </c>
      <c r="B34" s="30" t="s">
        <v>218</v>
      </c>
      <c r="C34" s="30" t="s">
        <v>219</v>
      </c>
      <c r="D34" s="30" t="s">
        <v>220</v>
      </c>
      <c r="E34" s="30" t="s">
        <v>913</v>
      </c>
      <c r="F34" s="30" t="s">
        <v>222</v>
      </c>
      <c r="G34" s="33" t="s">
        <v>30</v>
      </c>
      <c r="H34" s="44">
        <f>$K$5</f>
        <v>46342.0</v>
      </c>
      <c r="I34" s="44">
        <f>$K$6</f>
        <v>46367.0</v>
      </c>
      <c r="J34" s="33"/>
      <c r="K34" s="33" t="s">
        <v>245</v>
      </c>
      <c r="L34" s="33"/>
      <c r="M34" s="45" t="str">
        <f>IF(L34="Compliant",1,IF(L34="Partially Compliant",0.5,IF(L34="Non-Compliant",0,"")))</f>
        <v/>
      </c>
      <c r="N34" s="33"/>
      <c r="O34" s="33"/>
      <c r="P34" s="33"/>
      <c r="Q34" s="31"/>
    </row>
    <row r="35" spans="8:8" ht="35.05">
      <c r="A35" s="30" t="s">
        <v>914</v>
      </c>
      <c r="B35" s="30" t="s">
        <v>223</v>
      </c>
      <c r="C35" s="30" t="s">
        <v>224</v>
      </c>
      <c r="D35" s="30" t="s">
        <v>225</v>
      </c>
      <c r="E35" s="30" t="s">
        <v>915</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35.05">
      <c r="A36" s="30" t="s">
        <v>916</v>
      </c>
      <c r="B36" s="30" t="s">
        <v>228</v>
      </c>
      <c r="C36" s="30" t="s">
        <v>229</v>
      </c>
      <c r="D36" s="30" t="s">
        <v>230</v>
      </c>
      <c r="E36" s="30" t="s">
        <v>917</v>
      </c>
      <c r="F36" s="30" t="s">
        <v>232</v>
      </c>
      <c r="G36" s="33" t="s">
        <v>30</v>
      </c>
      <c r="H36" s="44">
        <f>$K$5</f>
        <v>46342.0</v>
      </c>
      <c r="I36" s="44">
        <f>$K$6</f>
        <v>46367.0</v>
      </c>
      <c r="J36" s="33"/>
      <c r="K36" s="33" t="s">
        <v>245</v>
      </c>
      <c r="L36" s="33"/>
      <c r="M36" s="45" t="str">
        <f>IF(L36="Compliant",1,IF(L36="Partially Compliant",0.5,IF(L36="Non-Compliant",0,"")))</f>
        <v/>
      </c>
      <c r="N36" s="33"/>
      <c r="O36" s="33"/>
      <c r="P36" s="33"/>
      <c r="Q36" s="31"/>
    </row>
    <row r="37" spans="8:8" ht="35.05">
      <c r="A37" s="30" t="s">
        <v>918</v>
      </c>
      <c r="B37" s="43" t="s">
        <v>187</v>
      </c>
      <c r="C37" s="30" t="s">
        <v>188</v>
      </c>
      <c r="D37" s="30" t="s">
        <v>919</v>
      </c>
      <c r="E37" s="30" t="s">
        <v>920</v>
      </c>
      <c r="F37" s="30" t="s">
        <v>921</v>
      </c>
      <c r="G37" s="33" t="s">
        <v>30</v>
      </c>
      <c r="H37" s="44">
        <f>$K$5</f>
        <v>46342.0</v>
      </c>
      <c r="I37" s="44">
        <f>$K$6</f>
        <v>46367.0</v>
      </c>
      <c r="J37" s="33"/>
      <c r="K37" s="33" t="s">
        <v>245</v>
      </c>
      <c r="L37" s="33"/>
      <c r="M37" s="45" t="str">
        <f>IF(L37="Compliant",1,IF(L37="Partially Compliant",0.5,IF(L37="Non-Compliant",0,"")))</f>
        <v/>
      </c>
      <c r="N37" s="33"/>
      <c r="O37" s="33"/>
      <c r="P37" s="33"/>
      <c r="Q37" s="31"/>
    </row>
    <row r="38" spans="8:8" ht="23.85">
      <c r="A38" s="30" t="s">
        <v>922</v>
      </c>
      <c r="B38" s="43" t="s">
        <v>923</v>
      </c>
      <c r="C38" s="30" t="s">
        <v>924</v>
      </c>
      <c r="D38" s="30" t="s">
        <v>925</v>
      </c>
      <c r="E38" s="30" t="s">
        <v>926</v>
      </c>
      <c r="F38" s="30" t="s">
        <v>927</v>
      </c>
      <c r="G38" s="33" t="s">
        <v>30</v>
      </c>
      <c r="H38" s="44">
        <f>$K$5</f>
        <v>46342.0</v>
      </c>
      <c r="I38" s="44">
        <f>$K$6</f>
        <v>46367.0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35">
      <formula>"Partially Compliant"</formula>
    </cfRule>
    <cfRule type="cellIs" operator="equal" priority="4" dxfId="36">
      <formula>"Non-Compliant"</formula>
    </cfRule>
    <cfRule type="cellIs" operator="equal" priority="2" dxfId="37">
      <formula>"Compliant"</formula>
    </cfRule>
  </conditionalFormatting>
  <conditionalFormatting sqref="G15:G38">
    <cfRule type="cellIs" operator="equal" priority="5" dxfId="38">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4.xml><?xml version="1.0" encoding="utf-8"?>
<worksheet xmlns:r="http://schemas.openxmlformats.org/officeDocument/2006/relationships" xmlns="http://schemas.openxmlformats.org/spreadsheetml/2006/main">
  <sheetPr>
    <tabColor rgb="FF2E75B6"/>
    <pageSetUpPr fitToPage="1"/>
  </sheetPr>
  <dimension ref="A1:R41"/>
  <sheetViews>
    <sheetView workbookViewId="0" showGridLines="0" zoomScale="90">
      <pane xSplit="2" ySplit="14" topLeftCell="C15" state="frozen" activePane="bottomRight"/>
      <selection pane="bottomRight" activeCell="A1" sqref="A1:F19"/>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928</v>
      </c>
      <c r="N1" s="34" t="s">
        <v>277</v>
      </c>
    </row>
    <row r="2" spans="8:8" ht="15.0">
      <c r="A2" s="12" t="s">
        <v>278</v>
      </c>
    </row>
    <row r="4" spans="8:8" ht="15.75" customHeight="1">
      <c r="A4" s="35" t="s">
        <v>59</v>
      </c>
      <c r="B4" s="35"/>
      <c r="C4" s="36" t="s">
        <v>81</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82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COUNTA(A15:A39)</f>
        <v>25.0</v>
      </c>
    </row>
    <row r="8" spans="8:8" ht="15.75" customHeight="1">
      <c r="A8" s="35" t="s">
        <v>285</v>
      </c>
      <c r="B8" s="35"/>
      <c r="C8" s="36" t="s">
        <v>929</v>
      </c>
      <c r="D8" s="36"/>
      <c r="E8" s="36"/>
      <c r="F8" s="36"/>
      <c r="H8" s="35" t="s">
        <v>34</v>
      </c>
      <c r="I8" s="35"/>
      <c r="J8" s="35"/>
      <c r="K8" s="40">
        <f>COUNTIF(K15:K39,"Completed")</f>
        <v>0.0</v>
      </c>
    </row>
    <row r="9" spans="8:8" ht="27.75" customHeight="1">
      <c r="A9" s="35" t="s">
        <v>287</v>
      </c>
      <c r="B9" s="35"/>
      <c r="C9" s="36" t="s">
        <v>930</v>
      </c>
      <c r="D9" s="36"/>
      <c r="E9" s="36"/>
      <c r="F9" s="36"/>
      <c r="H9" s="35" t="s">
        <v>64</v>
      </c>
      <c r="I9" s="35"/>
      <c r="J9" s="35"/>
      <c r="K9" s="40">
        <f>COUNTIF(L15:L39,"Compliant")</f>
        <v>0.0</v>
      </c>
    </row>
    <row r="10" spans="8:8" ht="15.75" customHeight="1">
      <c r="A10" s="35" t="s">
        <v>289</v>
      </c>
      <c r="B10" s="35"/>
      <c r="C10" s="36" t="s">
        <v>931</v>
      </c>
      <c r="D10" s="36"/>
      <c r="E10" s="36"/>
      <c r="F10" s="36"/>
      <c r="H10" s="35" t="s">
        <v>36</v>
      </c>
      <c r="I10" s="35"/>
      <c r="J10" s="35"/>
      <c r="K10" s="40">
        <f>COUNTIF(L15:L39,"Partially Compliant")</f>
        <v>0.0</v>
      </c>
    </row>
    <row r="11" spans="8:8" ht="15.75" customHeight="1">
      <c r="A11" s="35" t="s">
        <v>291</v>
      </c>
      <c r="B11" s="35"/>
      <c r="C11" s="39" t="s">
        <v>30</v>
      </c>
      <c r="D11" s="39"/>
      <c r="E11" s="39"/>
      <c r="F11" s="39"/>
      <c r="H11" s="35" t="s">
        <v>49</v>
      </c>
      <c r="I11" s="35"/>
      <c r="J11" s="35"/>
      <c r="K11" s="40">
        <f>COUNTIF(L15:L39,"Non-Compliant")</f>
        <v>0.0</v>
      </c>
    </row>
    <row r="12" spans="8:8" ht="15.0">
      <c r="H12" s="35" t="s">
        <v>292</v>
      </c>
      <c r="I12" s="35"/>
      <c r="J12" s="35"/>
      <c r="K12" s="40">
        <f>COUNTIF(L15:L39,"Not Applicable")</f>
        <v>0.0</v>
      </c>
    </row>
    <row r="13" spans="8:8" ht="15.0">
      <c r="H13" s="35" t="s">
        <v>293</v>
      </c>
      <c r="I13" s="35"/>
      <c r="J13" s="35"/>
      <c r="K13" s="41" t="str">
        <f>_xlfn.IFERROR(AVERAGE(M15:M39),"")</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932</v>
      </c>
      <c r="B15" s="30" t="s">
        <v>122</v>
      </c>
      <c r="C15" s="30" t="s">
        <v>123</v>
      </c>
      <c r="D15" s="30" t="s">
        <v>124</v>
      </c>
      <c r="E15" s="30" t="s">
        <v>933</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934</v>
      </c>
      <c r="B16" s="30" t="s">
        <v>127</v>
      </c>
      <c r="C16" s="30" t="s">
        <v>128</v>
      </c>
      <c r="D16" s="30" t="s">
        <v>129</v>
      </c>
      <c r="E16" s="30" t="s">
        <v>935</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936</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937</v>
      </c>
      <c r="B18" s="30" t="s">
        <v>28</v>
      </c>
      <c r="C18" s="30" t="s">
        <v>137</v>
      </c>
      <c r="D18" s="30" t="s">
        <v>138</v>
      </c>
      <c r="E18" s="30" t="s">
        <v>938</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939</v>
      </c>
      <c r="B19" s="30" t="s">
        <v>141</v>
      </c>
      <c r="C19" s="30" t="s">
        <v>142</v>
      </c>
      <c r="D19" s="30" t="s">
        <v>143</v>
      </c>
      <c r="E19" s="30" t="s">
        <v>940</v>
      </c>
      <c r="F19" s="30" t="s">
        <v>145</v>
      </c>
      <c r="G19" s="33" t="s">
        <v>30</v>
      </c>
      <c r="H19" s="44">
        <f>$K$5</f>
        <v>46342.0</v>
      </c>
      <c r="I19" s="44">
        <f>$K$6</f>
        <v>46367.0</v>
      </c>
      <c r="J19" s="33"/>
      <c r="K19" s="33" t="s">
        <v>245</v>
      </c>
      <c r="L19" s="33"/>
      <c r="M19" s="45" t="str">
        <f>IF(L19="Compliant",1,IF(L19="Partially Compliant",0.5,IF(L19="Non-Compliant",0,"")))</f>
        <v/>
      </c>
      <c r="N19" s="33"/>
      <c r="O19" s="33"/>
      <c r="P19" s="33"/>
      <c r="Q19" s="31"/>
    </row>
    <row r="20" spans="8:8" ht="46.25">
      <c r="A20" s="30" t="s">
        <v>941</v>
      </c>
      <c r="B20" s="30" t="s">
        <v>147</v>
      </c>
      <c r="C20" s="30" t="s">
        <v>148</v>
      </c>
      <c r="D20" s="30" t="s">
        <v>149</v>
      </c>
      <c r="E20" s="30" t="s">
        <v>942</v>
      </c>
      <c r="F20" s="30" t="s">
        <v>151</v>
      </c>
      <c r="G20" s="33" t="s">
        <v>30</v>
      </c>
      <c r="H20" s="44">
        <f>$K$5</f>
        <v>46342.0</v>
      </c>
      <c r="I20" s="44">
        <f>$K$6</f>
        <v>46367.0</v>
      </c>
      <c r="J20" s="33"/>
      <c r="K20" s="33" t="s">
        <v>245</v>
      </c>
      <c r="L20" s="33"/>
      <c r="M20" s="45" t="str">
        <f>IF(L20="Compliant",1,IF(L20="Partially Compliant",0.5,IF(L20="Non-Compliant",0,"")))</f>
        <v/>
      </c>
      <c r="N20" s="33"/>
      <c r="O20" s="33"/>
      <c r="P20" s="33"/>
      <c r="Q20" s="31"/>
    </row>
    <row r="21" spans="8:8" ht="35.05">
      <c r="A21" s="30" t="s">
        <v>943</v>
      </c>
      <c r="B21" s="30" t="s">
        <v>152</v>
      </c>
      <c r="C21" s="30" t="s">
        <v>153</v>
      </c>
      <c r="D21" s="30" t="s">
        <v>154</v>
      </c>
      <c r="E21" s="30" t="s">
        <v>155</v>
      </c>
      <c r="F21" s="30" t="s">
        <v>156</v>
      </c>
      <c r="G21" s="33" t="s">
        <v>30</v>
      </c>
      <c r="H21" s="44">
        <f>$K$5</f>
        <v>46342.0</v>
      </c>
      <c r="I21" s="44">
        <f>$K$6</f>
        <v>46367.0</v>
      </c>
      <c r="J21" s="33"/>
      <c r="K21" s="33" t="s">
        <v>245</v>
      </c>
      <c r="L21" s="33"/>
      <c r="M21" s="45" t="str">
        <f>IF(L21="Compliant",1,IF(L21="Partially Compliant",0.5,IF(L21="Non-Compliant",0,"")))</f>
        <v/>
      </c>
      <c r="N21" s="33"/>
      <c r="O21" s="33"/>
      <c r="P21" s="33"/>
      <c r="Q21" s="31"/>
    </row>
    <row r="22" spans="8:8" ht="35.05">
      <c r="A22" s="30" t="s">
        <v>944</v>
      </c>
      <c r="B22" s="30" t="s">
        <v>157</v>
      </c>
      <c r="C22" s="30" t="s">
        <v>158</v>
      </c>
      <c r="D22" s="30" t="s">
        <v>159</v>
      </c>
      <c r="E22" s="30" t="s">
        <v>160</v>
      </c>
      <c r="F22" s="30" t="s">
        <v>161</v>
      </c>
      <c r="G22" s="33" t="s">
        <v>30</v>
      </c>
      <c r="H22" s="44">
        <f>$K$5</f>
        <v>46342.0</v>
      </c>
      <c r="I22" s="44">
        <f>$K$6</f>
        <v>46367.0</v>
      </c>
      <c r="J22" s="33"/>
      <c r="K22" s="33" t="s">
        <v>245</v>
      </c>
      <c r="L22" s="33"/>
      <c r="M22" s="45" t="str">
        <f>IF(L22="Compliant",1,IF(L22="Partially Compliant",0.5,IF(L22="Non-Compliant",0,"")))</f>
        <v/>
      </c>
      <c r="N22" s="33"/>
      <c r="O22" s="33"/>
      <c r="P22" s="33"/>
      <c r="Q22" s="31"/>
    </row>
    <row r="23" spans="8:8" ht="35.05">
      <c r="A23" s="30" t="s">
        <v>945</v>
      </c>
      <c r="B23" s="30" t="s">
        <v>162</v>
      </c>
      <c r="C23" s="30" t="s">
        <v>163</v>
      </c>
      <c r="D23" s="30" t="s">
        <v>164</v>
      </c>
      <c r="E23" s="30" t="s">
        <v>946</v>
      </c>
      <c r="F23" s="30" t="s">
        <v>166</v>
      </c>
      <c r="G23" s="33" t="s">
        <v>30</v>
      </c>
      <c r="H23" s="44">
        <f>$K$5</f>
        <v>46342.0</v>
      </c>
      <c r="I23" s="44">
        <f>$K$6</f>
        <v>46367.0</v>
      </c>
      <c r="J23" s="33"/>
      <c r="K23" s="33" t="s">
        <v>245</v>
      </c>
      <c r="L23" s="33"/>
      <c r="M23" s="45" t="str">
        <f>IF(L23="Compliant",1,IF(L23="Partially Compliant",0.5,IF(L23="Non-Compliant",0,"")))</f>
        <v/>
      </c>
      <c r="N23" s="33"/>
      <c r="O23" s="33"/>
      <c r="P23" s="33"/>
      <c r="Q23" s="31"/>
    </row>
    <row r="24" spans="8:8" ht="35.05">
      <c r="A24" s="30" t="s">
        <v>947</v>
      </c>
      <c r="B24" s="30" t="s">
        <v>167</v>
      </c>
      <c r="C24" s="30" t="s">
        <v>168</v>
      </c>
      <c r="D24" s="30" t="s">
        <v>169</v>
      </c>
      <c r="E24" s="30" t="s">
        <v>948</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949</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35.05">
      <c r="A26" s="30" t="s">
        <v>950</v>
      </c>
      <c r="B26" s="30" t="s">
        <v>177</v>
      </c>
      <c r="C26" s="30" t="s">
        <v>178</v>
      </c>
      <c r="D26" s="30" t="s">
        <v>951</v>
      </c>
      <c r="E26" s="30" t="s">
        <v>952</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953</v>
      </c>
      <c r="B27" s="30" t="s">
        <v>182</v>
      </c>
      <c r="C27" s="30" t="s">
        <v>183</v>
      </c>
      <c r="D27" s="30" t="s">
        <v>184</v>
      </c>
      <c r="E27" s="30" t="s">
        <v>954</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35.05">
      <c r="A28" s="30" t="s">
        <v>955</v>
      </c>
      <c r="B28" s="30" t="s">
        <v>187</v>
      </c>
      <c r="C28" s="30" t="s">
        <v>188</v>
      </c>
      <c r="D28" s="30" t="s">
        <v>189</v>
      </c>
      <c r="E28" s="30" t="s">
        <v>956</v>
      </c>
      <c r="F28" s="30" t="s">
        <v>191</v>
      </c>
      <c r="G28" s="33" t="s">
        <v>30</v>
      </c>
      <c r="H28" s="44">
        <f>$K$5</f>
        <v>46342.0</v>
      </c>
      <c r="I28" s="44">
        <f>$K$6</f>
        <v>46367.0</v>
      </c>
      <c r="J28" s="33"/>
      <c r="K28" s="33" t="s">
        <v>245</v>
      </c>
      <c r="L28" s="33"/>
      <c r="M28" s="45" t="str">
        <f>IF(L28="Compliant",1,IF(L28="Partially Compliant",0.5,IF(L28="Non-Compliant",0,"")))</f>
        <v/>
      </c>
      <c r="N28" s="33"/>
      <c r="O28" s="33"/>
      <c r="P28" s="33"/>
      <c r="Q28" s="31"/>
    </row>
    <row r="29" spans="8:8" ht="35.05">
      <c r="A29" s="30" t="s">
        <v>957</v>
      </c>
      <c r="B29" s="30" t="s">
        <v>192</v>
      </c>
      <c r="C29" s="30" t="s">
        <v>193</v>
      </c>
      <c r="D29" s="30" t="s">
        <v>194</v>
      </c>
      <c r="E29" s="30" t="s">
        <v>958</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959</v>
      </c>
      <c r="B30" s="30" t="s">
        <v>197</v>
      </c>
      <c r="C30" s="30" t="s">
        <v>198</v>
      </c>
      <c r="D30" s="30" t="s">
        <v>199</v>
      </c>
      <c r="E30" s="30" t="s">
        <v>960</v>
      </c>
      <c r="F30" s="30" t="s">
        <v>201</v>
      </c>
      <c r="G30" s="33" t="s">
        <v>30</v>
      </c>
      <c r="H30" s="44">
        <f>$K$5</f>
        <v>46342.0</v>
      </c>
      <c r="I30" s="44">
        <f>$K$6</f>
        <v>46367.0</v>
      </c>
      <c r="J30" s="33"/>
      <c r="K30" s="33" t="s">
        <v>245</v>
      </c>
      <c r="L30" s="33"/>
      <c r="M30" s="45" t="str">
        <f>IF(L30="Compliant",1,IF(L30="Partially Compliant",0.5,IF(L30="Non-Compliant",0,"")))</f>
        <v/>
      </c>
      <c r="N30" s="33"/>
      <c r="O30" s="33"/>
      <c r="P30" s="33"/>
      <c r="Q30" s="31"/>
    </row>
    <row r="31" spans="8:8" ht="35.05">
      <c r="A31" s="30" t="s">
        <v>961</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962</v>
      </c>
      <c r="B32" s="30" t="s">
        <v>208</v>
      </c>
      <c r="C32" s="30" t="s">
        <v>209</v>
      </c>
      <c r="D32" s="30" t="s">
        <v>210</v>
      </c>
      <c r="E32" s="30" t="s">
        <v>963</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964</v>
      </c>
      <c r="B33" s="30" t="s">
        <v>213</v>
      </c>
      <c r="C33" s="30" t="s">
        <v>214</v>
      </c>
      <c r="D33" s="30" t="s">
        <v>215</v>
      </c>
      <c r="E33" s="30" t="s">
        <v>965</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23.85">
      <c r="A34" s="30" t="s">
        <v>966</v>
      </c>
      <c r="B34" s="30" t="s">
        <v>218</v>
      </c>
      <c r="C34" s="30" t="s">
        <v>219</v>
      </c>
      <c r="D34" s="30" t="s">
        <v>220</v>
      </c>
      <c r="E34" s="30" t="s">
        <v>967</v>
      </c>
      <c r="F34" s="30" t="s">
        <v>222</v>
      </c>
      <c r="G34" s="33" t="s">
        <v>30</v>
      </c>
      <c r="H34" s="44">
        <f>$K$5</f>
        <v>46342.0</v>
      </c>
      <c r="I34" s="44">
        <f>$K$6</f>
        <v>46367.0</v>
      </c>
      <c r="J34" s="33"/>
      <c r="K34" s="33" t="s">
        <v>245</v>
      </c>
      <c r="L34" s="33"/>
      <c r="M34" s="45" t="str">
        <f>IF(L34="Compliant",1,IF(L34="Partially Compliant",0.5,IF(L34="Non-Compliant",0,"")))</f>
        <v/>
      </c>
      <c r="N34" s="33"/>
      <c r="O34" s="33"/>
      <c r="P34" s="33"/>
      <c r="Q34" s="31"/>
    </row>
    <row r="35" spans="8:8" ht="35.05">
      <c r="A35" s="30" t="s">
        <v>968</v>
      </c>
      <c r="B35" s="30" t="s">
        <v>223</v>
      </c>
      <c r="C35" s="30" t="s">
        <v>224</v>
      </c>
      <c r="D35" s="30" t="s">
        <v>225</v>
      </c>
      <c r="E35" s="30" t="s">
        <v>969</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23.85">
      <c r="A36" s="30" t="s">
        <v>970</v>
      </c>
      <c r="B36" s="30" t="s">
        <v>228</v>
      </c>
      <c r="C36" s="30" t="s">
        <v>229</v>
      </c>
      <c r="D36" s="30" t="s">
        <v>230</v>
      </c>
      <c r="E36" s="30" t="s">
        <v>971</v>
      </c>
      <c r="F36" s="30" t="s">
        <v>232</v>
      </c>
      <c r="G36" s="33" t="s">
        <v>30</v>
      </c>
      <c r="H36" s="44">
        <f>$K$5</f>
        <v>46342.0</v>
      </c>
      <c r="I36" s="44">
        <f>$K$6</f>
        <v>46367.0</v>
      </c>
      <c r="J36" s="33"/>
      <c r="K36" s="33" t="s">
        <v>245</v>
      </c>
      <c r="L36" s="33"/>
      <c r="M36" s="45" t="str">
        <f>IF(L36="Compliant",1,IF(L36="Partially Compliant",0.5,IF(L36="Non-Compliant",0,"")))</f>
        <v/>
      </c>
      <c r="N36" s="33"/>
      <c r="O36" s="33"/>
      <c r="P36" s="33"/>
      <c r="Q36" s="31"/>
    </row>
    <row r="37" spans="8:8" ht="35.05">
      <c r="A37" s="30" t="s">
        <v>972</v>
      </c>
      <c r="B37" s="43" t="s">
        <v>973</v>
      </c>
      <c r="C37" s="30" t="s">
        <v>728</v>
      </c>
      <c r="D37" s="30" t="s">
        <v>974</v>
      </c>
      <c r="E37" s="30" t="s">
        <v>975</v>
      </c>
      <c r="F37" s="30" t="s">
        <v>976</v>
      </c>
      <c r="G37" s="33" t="s">
        <v>30</v>
      </c>
      <c r="H37" s="44">
        <f>$K$5</f>
        <v>46342.0</v>
      </c>
      <c r="I37" s="44">
        <f>$K$6</f>
        <v>46367.0</v>
      </c>
      <c r="J37" s="33"/>
      <c r="K37" s="33" t="s">
        <v>245</v>
      </c>
      <c r="L37" s="33"/>
      <c r="M37" s="45" t="str">
        <f>IF(L37="Compliant",1,IF(L37="Partially Compliant",0.5,IF(L37="Non-Compliant",0,"")))</f>
        <v/>
      </c>
      <c r="N37" s="33"/>
      <c r="O37" s="33"/>
      <c r="P37" s="33"/>
      <c r="Q37" s="31"/>
    </row>
    <row r="38" spans="8:8" ht="23.85">
      <c r="A38" s="30" t="s">
        <v>977</v>
      </c>
      <c r="B38" s="43" t="s">
        <v>978</v>
      </c>
      <c r="C38" s="30" t="s">
        <v>979</v>
      </c>
      <c r="D38" s="30" t="s">
        <v>980</v>
      </c>
      <c r="E38" s="30" t="s">
        <v>981</v>
      </c>
      <c r="F38" s="30" t="s">
        <v>982</v>
      </c>
      <c r="G38" s="33" t="s">
        <v>30</v>
      </c>
      <c r="H38" s="44">
        <f>$K$5</f>
        <v>46342.0</v>
      </c>
      <c r="I38" s="44">
        <f>$K$6</f>
        <v>46367.0</v>
      </c>
      <c r="J38" s="33"/>
      <c r="K38" s="33" t="s">
        <v>245</v>
      </c>
      <c r="L38" s="33"/>
      <c r="M38" s="45" t="str">
        <f>IF(L38="Compliant",1,IF(L38="Partially Compliant",0.5,IF(L38="Non-Compliant",0,"")))</f>
        <v/>
      </c>
      <c r="N38" s="33"/>
      <c r="O38" s="33"/>
      <c r="P38" s="33"/>
      <c r="Q38" s="31"/>
    </row>
    <row r="39" spans="8:8" ht="23.85">
      <c r="A39" s="30" t="s">
        <v>983</v>
      </c>
      <c r="B39" s="43" t="s">
        <v>984</v>
      </c>
      <c r="C39" s="30" t="s">
        <v>985</v>
      </c>
      <c r="D39" s="30" t="s">
        <v>986</v>
      </c>
      <c r="E39" s="30" t="s">
        <v>987</v>
      </c>
      <c r="F39" s="30" t="s">
        <v>988</v>
      </c>
      <c r="G39" s="33" t="s">
        <v>146</v>
      </c>
      <c r="H39" s="44">
        <f>$K$5</f>
        <v>46342.0</v>
      </c>
      <c r="I39" s="44">
        <f>$K$6</f>
        <v>46367.0</v>
      </c>
      <c r="J39" s="33"/>
      <c r="K39" s="33" t="s">
        <v>245</v>
      </c>
      <c r="L39" s="33"/>
      <c r="M39" s="45" t="str">
        <f>IF(L39="Compliant",1,IF(L39="Partially Compliant",0.5,IF(L39="Non-Compliant",0,"")))</f>
        <v/>
      </c>
      <c r="N39" s="33"/>
      <c r="O39" s="33"/>
      <c r="P39" s="33"/>
      <c r="Q39" s="31"/>
    </row>
    <row r="41" spans="8:8" ht="15.0">
      <c r="A41" s="27" t="s">
        <v>439</v>
      </c>
    </row>
  </sheetData>
  <autoFilter ref="A14:Q39">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9">
    <cfRule type="cellIs" operator="equal" priority="3" dxfId="39">
      <formula>"Partially Compliant"</formula>
    </cfRule>
    <cfRule type="cellIs" operator="equal" priority="4" dxfId="40">
      <formula>"Non-Compliant"</formula>
    </cfRule>
    <cfRule type="cellIs" operator="equal" priority="2" dxfId="41">
      <formula>"Compliant"</formula>
    </cfRule>
  </conditionalFormatting>
  <conditionalFormatting sqref="G15:G39">
    <cfRule type="cellIs" operator="equal" priority="5" dxfId="42">
      <formula>"High"</formula>
    </cfRule>
  </conditionalFormatting>
  <dataValidations count="4">
    <dataValidation allowBlank="1" type="list" errorStyle="stop" sqref="G15:G39">
      <formula1>"High,Medium,Low"</formula1>
      <formula2>0</formula2>
    </dataValidation>
    <dataValidation allowBlank="1" type="list" errorStyle="stop" sqref="K15:K39">
      <formula1>"Not Started,In Progress,Fieldwork Done,Reported,Completed"</formula1>
      <formula2>0</formula2>
    </dataValidation>
    <dataValidation allowBlank="1" type="list" errorStyle="stop" sqref="L15:L39">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5.xml><?xml version="1.0" encoding="utf-8"?>
<worksheet xmlns:r="http://schemas.openxmlformats.org/officeDocument/2006/relationships" xmlns="http://schemas.openxmlformats.org/spreadsheetml/2006/main">
  <sheetPr>
    <tabColor rgb="FF2E75B6"/>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989</v>
      </c>
      <c r="N1" s="34" t="s">
        <v>277</v>
      </c>
    </row>
    <row r="2" spans="8:8" ht="15.0">
      <c r="A2" s="12" t="s">
        <v>278</v>
      </c>
    </row>
    <row r="4" spans="8:8" ht="15.75" customHeight="1">
      <c r="A4" s="35" t="s">
        <v>59</v>
      </c>
      <c r="B4" s="35"/>
      <c r="C4" s="36" t="s">
        <v>83</v>
      </c>
      <c r="D4" s="36"/>
      <c r="E4" s="36"/>
      <c r="F4" s="36"/>
      <c r="H4" s="35" t="s">
        <v>279</v>
      </c>
      <c r="I4" s="35"/>
      <c r="J4" s="35"/>
      <c r="K4" s="37" t="s">
        <v>280</v>
      </c>
    </row>
    <row r="5" spans="8:8" ht="15.75" customHeight="1">
      <c r="A5" s="35" t="s">
        <v>281</v>
      </c>
      <c r="B5" s="35"/>
      <c r="C5" s="36" t="s">
        <v>52</v>
      </c>
      <c r="D5" s="36"/>
      <c r="E5" s="36"/>
      <c r="F5" s="36"/>
      <c r="H5" s="35" t="s">
        <v>63</v>
      </c>
      <c r="I5" s="35"/>
      <c r="J5" s="35"/>
      <c r="K5" s="38">
        <v>46342.0</v>
      </c>
    </row>
    <row r="6" spans="8:8" ht="15.75" customHeight="1">
      <c r="A6" s="35" t="s">
        <v>282</v>
      </c>
      <c r="B6" s="35"/>
      <c r="C6" s="36" t="s">
        <v>72</v>
      </c>
      <c r="D6" s="36"/>
      <c r="E6" s="36"/>
      <c r="F6" s="36"/>
      <c r="H6" s="35" t="s">
        <v>283</v>
      </c>
      <c r="I6" s="35"/>
      <c r="J6" s="35"/>
      <c r="K6" s="38">
        <v>46367.0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990</v>
      </c>
      <c r="D8" s="36"/>
      <c r="E8" s="36"/>
      <c r="F8" s="36"/>
      <c r="H8" s="35" t="s">
        <v>34</v>
      </c>
      <c r="I8" s="35"/>
      <c r="J8" s="35"/>
      <c r="K8" s="40">
        <f>COUNTIF(K15:K38,"Completed")</f>
        <v>0.0</v>
      </c>
    </row>
    <row r="9" spans="8:8" ht="15.75" customHeight="1">
      <c r="A9" s="35" t="s">
        <v>287</v>
      </c>
      <c r="B9" s="35"/>
      <c r="C9" s="36" t="s">
        <v>991</v>
      </c>
      <c r="D9" s="36"/>
      <c r="E9" s="36"/>
      <c r="F9" s="36"/>
      <c r="H9" s="35" t="s">
        <v>64</v>
      </c>
      <c r="I9" s="35"/>
      <c r="J9" s="35"/>
      <c r="K9" s="40">
        <f>COUNTIF(L15:L38,"Compliant")</f>
        <v>0.0</v>
      </c>
    </row>
    <row r="10" spans="8:8" ht="15.75" customHeight="1">
      <c r="A10" s="35" t="s">
        <v>289</v>
      </c>
      <c r="B10" s="35"/>
      <c r="C10" s="36" t="s">
        <v>992</v>
      </c>
      <c r="D10" s="36"/>
      <c r="E10" s="36"/>
      <c r="F10" s="36"/>
      <c r="H10" s="35" t="s">
        <v>36</v>
      </c>
      <c r="I10" s="35"/>
      <c r="J10" s="35"/>
      <c r="K10" s="40">
        <f>COUNTIF(L15:L38,"Partially Compliant")</f>
        <v>0.0</v>
      </c>
    </row>
    <row r="11" spans="8:8" ht="15.75" customHeight="1">
      <c r="A11" s="35" t="s">
        <v>291</v>
      </c>
      <c r="B11" s="35"/>
      <c r="C11" s="39" t="s">
        <v>146</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993</v>
      </c>
      <c r="B15" s="30" t="s">
        <v>122</v>
      </c>
      <c r="C15" s="30" t="s">
        <v>123</v>
      </c>
      <c r="D15" s="30" t="s">
        <v>124</v>
      </c>
      <c r="E15" s="30" t="s">
        <v>994</v>
      </c>
      <c r="F15" s="30" t="s">
        <v>126</v>
      </c>
      <c r="G15" s="33" t="s">
        <v>30</v>
      </c>
      <c r="H15" s="44">
        <f>$K$5</f>
        <v>46342.0</v>
      </c>
      <c r="I15" s="44">
        <f>$K$6</f>
        <v>46367.0</v>
      </c>
      <c r="J15" s="33"/>
      <c r="K15" s="33" t="s">
        <v>245</v>
      </c>
      <c r="L15" s="33"/>
      <c r="M15" s="45" t="str">
        <f>IF(L15="Compliant",1,IF(L15="Partially Compliant",0.5,IF(L15="Non-Compliant",0,"")))</f>
        <v/>
      </c>
      <c r="N15" s="33"/>
      <c r="O15" s="33"/>
      <c r="P15" s="33"/>
      <c r="Q15" s="31"/>
    </row>
    <row r="16" spans="8:8" ht="35.05">
      <c r="A16" s="30" t="s">
        <v>995</v>
      </c>
      <c r="B16" s="30" t="s">
        <v>127</v>
      </c>
      <c r="C16" s="30" t="s">
        <v>128</v>
      </c>
      <c r="D16" s="30" t="s">
        <v>129</v>
      </c>
      <c r="E16" s="30" t="s">
        <v>996</v>
      </c>
      <c r="F16" s="30" t="s">
        <v>131</v>
      </c>
      <c r="G16" s="33" t="s">
        <v>30</v>
      </c>
      <c r="H16" s="44">
        <f>$K$5</f>
        <v>46342.0</v>
      </c>
      <c r="I16" s="44">
        <f>$K$6</f>
        <v>46367.0</v>
      </c>
      <c r="J16" s="33"/>
      <c r="K16" s="33" t="s">
        <v>245</v>
      </c>
      <c r="L16" s="33"/>
      <c r="M16" s="45" t="str">
        <f>IF(L16="Compliant",1,IF(L16="Partially Compliant",0.5,IF(L16="Non-Compliant",0,"")))</f>
        <v/>
      </c>
      <c r="N16" s="33"/>
      <c r="O16" s="33"/>
      <c r="P16" s="33"/>
      <c r="Q16" s="31"/>
    </row>
    <row r="17" spans="8:8" ht="35.05">
      <c r="A17" s="30" t="s">
        <v>997</v>
      </c>
      <c r="B17" s="30" t="s">
        <v>132</v>
      </c>
      <c r="C17" s="30" t="s">
        <v>133</v>
      </c>
      <c r="D17" s="30" t="s">
        <v>134</v>
      </c>
      <c r="E17" s="30" t="s">
        <v>135</v>
      </c>
      <c r="F17" s="30" t="s">
        <v>136</v>
      </c>
      <c r="G17" s="33" t="s">
        <v>30</v>
      </c>
      <c r="H17" s="44">
        <f>$K$5</f>
        <v>46342.0</v>
      </c>
      <c r="I17" s="44">
        <f>$K$6</f>
        <v>46367.0</v>
      </c>
      <c r="J17" s="33"/>
      <c r="K17" s="33" t="s">
        <v>245</v>
      </c>
      <c r="L17" s="33"/>
      <c r="M17" s="45" t="str">
        <f>IF(L17="Compliant",1,IF(L17="Partially Compliant",0.5,IF(L17="Non-Compliant",0,"")))</f>
        <v/>
      </c>
      <c r="N17" s="33"/>
      <c r="O17" s="33"/>
      <c r="P17" s="33"/>
      <c r="Q17" s="31"/>
    </row>
    <row r="18" spans="8:8" ht="57.45">
      <c r="A18" s="30" t="s">
        <v>998</v>
      </c>
      <c r="B18" s="30" t="s">
        <v>28</v>
      </c>
      <c r="C18" s="30" t="s">
        <v>137</v>
      </c>
      <c r="D18" s="30" t="s">
        <v>138</v>
      </c>
      <c r="E18" s="30" t="s">
        <v>999</v>
      </c>
      <c r="F18" s="30" t="s">
        <v>140</v>
      </c>
      <c r="G18" s="33" t="s">
        <v>30</v>
      </c>
      <c r="H18" s="44">
        <f>$K$5</f>
        <v>46342.0</v>
      </c>
      <c r="I18" s="44">
        <f>$K$6</f>
        <v>46367.0</v>
      </c>
      <c r="J18" s="33"/>
      <c r="K18" s="33" t="s">
        <v>245</v>
      </c>
      <c r="L18" s="33"/>
      <c r="M18" s="45" t="str">
        <f>IF(L18="Compliant",1,IF(L18="Partially Compliant",0.5,IF(L18="Non-Compliant",0,"")))</f>
        <v/>
      </c>
      <c r="N18" s="33"/>
      <c r="O18" s="33"/>
      <c r="P18" s="33"/>
      <c r="Q18" s="31"/>
    </row>
    <row r="19" spans="8:8" ht="35.05">
      <c r="A19" s="30" t="s">
        <v>1000</v>
      </c>
      <c r="B19" s="30" t="s">
        <v>141</v>
      </c>
      <c r="C19" s="30" t="s">
        <v>142</v>
      </c>
      <c r="D19" s="30" t="s">
        <v>143</v>
      </c>
      <c r="E19" s="30" t="s">
        <v>1001</v>
      </c>
      <c r="F19" s="30" t="s">
        <v>145</v>
      </c>
      <c r="G19" s="33" t="s">
        <v>146</v>
      </c>
      <c r="H19" s="44">
        <f>$K$5</f>
        <v>46342.0</v>
      </c>
      <c r="I19" s="44">
        <f>$K$6</f>
        <v>46367.0</v>
      </c>
      <c r="J19" s="33"/>
      <c r="K19" s="33" t="s">
        <v>245</v>
      </c>
      <c r="L19" s="33"/>
      <c r="M19" s="45" t="str">
        <f>IF(L19="Compliant",1,IF(L19="Partially Compliant",0.5,IF(L19="Non-Compliant",0,"")))</f>
        <v/>
      </c>
      <c r="N19" s="33"/>
      <c r="O19" s="33"/>
      <c r="P19" s="33"/>
      <c r="Q19" s="31"/>
    </row>
    <row r="20" spans="8:8" ht="46.25">
      <c r="A20" s="30" t="s">
        <v>1002</v>
      </c>
      <c r="B20" s="30" t="s">
        <v>147</v>
      </c>
      <c r="C20" s="30" t="s">
        <v>148</v>
      </c>
      <c r="D20" s="30" t="s">
        <v>149</v>
      </c>
      <c r="E20" s="30" t="s">
        <v>1003</v>
      </c>
      <c r="F20" s="30" t="s">
        <v>151</v>
      </c>
      <c r="G20" s="33" t="s">
        <v>146</v>
      </c>
      <c r="H20" s="44">
        <f>$K$5</f>
        <v>46342.0</v>
      </c>
      <c r="I20" s="44">
        <f>$K$6</f>
        <v>46367.0</v>
      </c>
      <c r="J20" s="33"/>
      <c r="K20" s="33" t="s">
        <v>245</v>
      </c>
      <c r="L20" s="33"/>
      <c r="M20" s="45" t="str">
        <f>IF(L20="Compliant",1,IF(L20="Partially Compliant",0.5,IF(L20="Non-Compliant",0,"")))</f>
        <v/>
      </c>
      <c r="N20" s="33"/>
      <c r="O20" s="33"/>
      <c r="P20" s="33"/>
      <c r="Q20" s="31"/>
    </row>
    <row r="21" spans="8:8" ht="35.05">
      <c r="A21" s="30" t="s">
        <v>1004</v>
      </c>
      <c r="B21" s="30" t="s">
        <v>152</v>
      </c>
      <c r="C21" s="30" t="s">
        <v>153</v>
      </c>
      <c r="D21" s="30" t="s">
        <v>154</v>
      </c>
      <c r="E21" s="30" t="s">
        <v>155</v>
      </c>
      <c r="F21" s="30" t="s">
        <v>156</v>
      </c>
      <c r="G21" s="33" t="s">
        <v>146</v>
      </c>
      <c r="H21" s="44">
        <f>$K$5</f>
        <v>46342.0</v>
      </c>
      <c r="I21" s="44">
        <f>$K$6</f>
        <v>46367.0</v>
      </c>
      <c r="J21" s="33"/>
      <c r="K21" s="33" t="s">
        <v>245</v>
      </c>
      <c r="L21" s="33"/>
      <c r="M21" s="45" t="str">
        <f>IF(L21="Compliant",1,IF(L21="Partially Compliant",0.5,IF(L21="Non-Compliant",0,"")))</f>
        <v/>
      </c>
      <c r="N21" s="33"/>
      <c r="O21" s="33"/>
      <c r="P21" s="33"/>
      <c r="Q21" s="31"/>
    </row>
    <row r="22" spans="8:8" ht="35.05">
      <c r="A22" s="30" t="s">
        <v>1005</v>
      </c>
      <c r="B22" s="30" t="s">
        <v>157</v>
      </c>
      <c r="C22" s="30" t="s">
        <v>158</v>
      </c>
      <c r="D22" s="30" t="s">
        <v>159</v>
      </c>
      <c r="E22" s="30" t="s">
        <v>160</v>
      </c>
      <c r="F22" s="30" t="s">
        <v>161</v>
      </c>
      <c r="G22" s="33" t="s">
        <v>146</v>
      </c>
      <c r="H22" s="44">
        <f>$K$5</f>
        <v>46342.0</v>
      </c>
      <c r="I22" s="44">
        <f>$K$6</f>
        <v>46367.0</v>
      </c>
      <c r="J22" s="33"/>
      <c r="K22" s="33" t="s">
        <v>245</v>
      </c>
      <c r="L22" s="33"/>
      <c r="M22" s="45" t="str">
        <f>IF(L22="Compliant",1,IF(L22="Partially Compliant",0.5,IF(L22="Non-Compliant",0,"")))</f>
        <v/>
      </c>
      <c r="N22" s="33"/>
      <c r="O22" s="33"/>
      <c r="P22" s="33"/>
      <c r="Q22" s="31"/>
    </row>
    <row r="23" spans="8:8" ht="35.05">
      <c r="A23" s="30" t="s">
        <v>1006</v>
      </c>
      <c r="B23" s="30" t="s">
        <v>162</v>
      </c>
      <c r="C23" s="30" t="s">
        <v>163</v>
      </c>
      <c r="D23" s="30" t="s">
        <v>164</v>
      </c>
      <c r="E23" s="30" t="s">
        <v>1007</v>
      </c>
      <c r="F23" s="30" t="s">
        <v>166</v>
      </c>
      <c r="G23" s="33" t="s">
        <v>146</v>
      </c>
      <c r="H23" s="44">
        <f>$K$5</f>
        <v>46342.0</v>
      </c>
      <c r="I23" s="44">
        <f>$K$6</f>
        <v>46367.0</v>
      </c>
      <c r="J23" s="33"/>
      <c r="K23" s="33" t="s">
        <v>245</v>
      </c>
      <c r="L23" s="33"/>
      <c r="M23" s="45" t="str">
        <f>IF(L23="Compliant",1,IF(L23="Partially Compliant",0.5,IF(L23="Non-Compliant",0,"")))</f>
        <v/>
      </c>
      <c r="N23" s="33"/>
      <c r="O23" s="33"/>
      <c r="P23" s="33"/>
      <c r="Q23" s="31"/>
    </row>
    <row r="24" spans="8:8" ht="35.05">
      <c r="A24" s="30" t="s">
        <v>1008</v>
      </c>
      <c r="B24" s="30" t="s">
        <v>167</v>
      </c>
      <c r="C24" s="30" t="s">
        <v>168</v>
      </c>
      <c r="D24" s="30" t="s">
        <v>169</v>
      </c>
      <c r="E24" s="30" t="s">
        <v>1009</v>
      </c>
      <c r="F24" s="30" t="s">
        <v>171</v>
      </c>
      <c r="G24" s="33" t="s">
        <v>30</v>
      </c>
      <c r="H24" s="44">
        <f>$K$5</f>
        <v>46342.0</v>
      </c>
      <c r="I24" s="44">
        <f>$K$6</f>
        <v>46367.0</v>
      </c>
      <c r="J24" s="33"/>
      <c r="K24" s="33" t="s">
        <v>245</v>
      </c>
      <c r="L24" s="33"/>
      <c r="M24" s="45" t="str">
        <f>IF(L24="Compliant",1,IF(L24="Partially Compliant",0.5,IF(L24="Non-Compliant",0,"")))</f>
        <v/>
      </c>
      <c r="N24" s="33"/>
      <c r="O24" s="33"/>
      <c r="P24" s="33"/>
      <c r="Q24" s="31"/>
    </row>
    <row r="25" spans="8:8" ht="35.05">
      <c r="A25" s="30" t="s">
        <v>1010</v>
      </c>
      <c r="B25" s="30" t="s">
        <v>172</v>
      </c>
      <c r="C25" s="30" t="s">
        <v>173</v>
      </c>
      <c r="D25" s="30" t="s">
        <v>174</v>
      </c>
      <c r="E25" s="30" t="s">
        <v>175</v>
      </c>
      <c r="F25" s="30" t="s">
        <v>176</v>
      </c>
      <c r="G25" s="33" t="s">
        <v>30</v>
      </c>
      <c r="H25" s="44">
        <f>$K$5</f>
        <v>46342.0</v>
      </c>
      <c r="I25" s="44">
        <f>$K$6</f>
        <v>46367.0</v>
      </c>
      <c r="J25" s="33"/>
      <c r="K25" s="33" t="s">
        <v>245</v>
      </c>
      <c r="L25" s="33"/>
      <c r="M25" s="45" t="str">
        <f>IF(L25="Compliant",1,IF(L25="Partially Compliant",0.5,IF(L25="Non-Compliant",0,"")))</f>
        <v/>
      </c>
      <c r="N25" s="33"/>
      <c r="O25" s="33"/>
      <c r="P25" s="33"/>
      <c r="Q25" s="31"/>
    </row>
    <row r="26" spans="8:8" ht="46.25">
      <c r="A26" s="30" t="s">
        <v>1011</v>
      </c>
      <c r="B26" s="30" t="s">
        <v>177</v>
      </c>
      <c r="C26" s="30" t="s">
        <v>178</v>
      </c>
      <c r="D26" s="30" t="s">
        <v>1012</v>
      </c>
      <c r="E26" s="30" t="s">
        <v>1013</v>
      </c>
      <c r="F26" s="30" t="s">
        <v>181</v>
      </c>
      <c r="G26" s="33" t="s">
        <v>30</v>
      </c>
      <c r="H26" s="44">
        <f>$K$5</f>
        <v>46342.0</v>
      </c>
      <c r="I26" s="44">
        <f>$K$6</f>
        <v>46367.0</v>
      </c>
      <c r="J26" s="33"/>
      <c r="K26" s="33" t="s">
        <v>245</v>
      </c>
      <c r="L26" s="33"/>
      <c r="M26" s="45" t="str">
        <f>IF(L26="Compliant",1,IF(L26="Partially Compliant",0.5,IF(L26="Non-Compliant",0,"")))</f>
        <v/>
      </c>
      <c r="N26" s="33"/>
      <c r="O26" s="33"/>
      <c r="P26" s="33"/>
      <c r="Q26" s="31"/>
    </row>
    <row r="27" spans="8:8" ht="35.05">
      <c r="A27" s="30" t="s">
        <v>1014</v>
      </c>
      <c r="B27" s="30" t="s">
        <v>182</v>
      </c>
      <c r="C27" s="30" t="s">
        <v>183</v>
      </c>
      <c r="D27" s="30" t="s">
        <v>184</v>
      </c>
      <c r="E27" s="30" t="s">
        <v>1015</v>
      </c>
      <c r="F27" s="30" t="s">
        <v>186</v>
      </c>
      <c r="G27" s="33" t="s">
        <v>30</v>
      </c>
      <c r="H27" s="44">
        <f>$K$5</f>
        <v>46342.0</v>
      </c>
      <c r="I27" s="44">
        <f>$K$6</f>
        <v>46367.0</v>
      </c>
      <c r="J27" s="33"/>
      <c r="K27" s="33" t="s">
        <v>245</v>
      </c>
      <c r="L27" s="33"/>
      <c r="M27" s="45" t="str">
        <f>IF(L27="Compliant",1,IF(L27="Partially Compliant",0.5,IF(L27="Non-Compliant",0,"")))</f>
        <v/>
      </c>
      <c r="N27" s="33"/>
      <c r="O27" s="33"/>
      <c r="P27" s="33"/>
      <c r="Q27" s="31"/>
    </row>
    <row r="28" spans="8:8" ht="46.25">
      <c r="A28" s="30" t="s">
        <v>1016</v>
      </c>
      <c r="B28" s="30" t="s">
        <v>187</v>
      </c>
      <c r="C28" s="30" t="s">
        <v>188</v>
      </c>
      <c r="D28" s="30" t="s">
        <v>189</v>
      </c>
      <c r="E28" s="30" t="s">
        <v>1017</v>
      </c>
      <c r="F28" s="30" t="s">
        <v>191</v>
      </c>
      <c r="G28" s="33" t="s">
        <v>146</v>
      </c>
      <c r="H28" s="44">
        <f>$K$5</f>
        <v>46342.0</v>
      </c>
      <c r="I28" s="44">
        <f>$K$6</f>
        <v>46367.0</v>
      </c>
      <c r="J28" s="33"/>
      <c r="K28" s="33" t="s">
        <v>245</v>
      </c>
      <c r="L28" s="33"/>
      <c r="M28" s="45" t="str">
        <f>IF(L28="Compliant",1,IF(L28="Partially Compliant",0.5,IF(L28="Non-Compliant",0,"")))</f>
        <v/>
      </c>
      <c r="N28" s="33"/>
      <c r="O28" s="33"/>
      <c r="P28" s="33"/>
      <c r="Q28" s="31"/>
    </row>
    <row r="29" spans="8:8" ht="35.05">
      <c r="A29" s="30" t="s">
        <v>1018</v>
      </c>
      <c r="B29" s="30" t="s">
        <v>192</v>
      </c>
      <c r="C29" s="30" t="s">
        <v>193</v>
      </c>
      <c r="D29" s="30" t="s">
        <v>194</v>
      </c>
      <c r="E29" s="30" t="s">
        <v>1019</v>
      </c>
      <c r="F29" s="30" t="s">
        <v>196</v>
      </c>
      <c r="G29" s="33" t="s">
        <v>30</v>
      </c>
      <c r="H29" s="44">
        <f>$K$5</f>
        <v>46342.0</v>
      </c>
      <c r="I29" s="44">
        <f>$K$6</f>
        <v>46367.0</v>
      </c>
      <c r="J29" s="33"/>
      <c r="K29" s="33" t="s">
        <v>245</v>
      </c>
      <c r="L29" s="33"/>
      <c r="M29" s="45" t="str">
        <f>IF(L29="Compliant",1,IF(L29="Partially Compliant",0.5,IF(L29="Non-Compliant",0,"")))</f>
        <v/>
      </c>
      <c r="N29" s="33"/>
      <c r="O29" s="33"/>
      <c r="P29" s="33"/>
      <c r="Q29" s="31"/>
    </row>
    <row r="30" spans="8:8" ht="35.05">
      <c r="A30" s="30" t="s">
        <v>1020</v>
      </c>
      <c r="B30" s="30" t="s">
        <v>197</v>
      </c>
      <c r="C30" s="30" t="s">
        <v>198</v>
      </c>
      <c r="D30" s="30" t="s">
        <v>199</v>
      </c>
      <c r="E30" s="30" t="s">
        <v>1021</v>
      </c>
      <c r="F30" s="30" t="s">
        <v>201</v>
      </c>
      <c r="G30" s="33" t="s">
        <v>146</v>
      </c>
      <c r="H30" s="44">
        <f>$K$5</f>
        <v>46342.0</v>
      </c>
      <c r="I30" s="44">
        <f>$K$6</f>
        <v>46367.0</v>
      </c>
      <c r="J30" s="33"/>
      <c r="K30" s="33" t="s">
        <v>245</v>
      </c>
      <c r="L30" s="33"/>
      <c r="M30" s="45" t="str">
        <f>IF(L30="Compliant",1,IF(L30="Partially Compliant",0.5,IF(L30="Non-Compliant",0,"")))</f>
        <v/>
      </c>
      <c r="N30" s="33"/>
      <c r="O30" s="33"/>
      <c r="P30" s="33"/>
      <c r="Q30" s="31"/>
    </row>
    <row r="31" spans="8:8" ht="35.05">
      <c r="A31" s="30" t="s">
        <v>1022</v>
      </c>
      <c r="B31" s="30" t="s">
        <v>202</v>
      </c>
      <c r="C31" s="30" t="s">
        <v>203</v>
      </c>
      <c r="D31" s="30" t="s">
        <v>204</v>
      </c>
      <c r="E31" s="30" t="s">
        <v>205</v>
      </c>
      <c r="F31" s="30" t="s">
        <v>206</v>
      </c>
      <c r="G31" s="33" t="s">
        <v>207</v>
      </c>
      <c r="H31" s="44">
        <f>$K$5</f>
        <v>46342.0</v>
      </c>
      <c r="I31" s="44">
        <f>$K$6</f>
        <v>46367.0</v>
      </c>
      <c r="J31" s="33"/>
      <c r="K31" s="33" t="s">
        <v>245</v>
      </c>
      <c r="L31" s="33"/>
      <c r="M31" s="45" t="str">
        <f>IF(L31="Compliant",1,IF(L31="Partially Compliant",0.5,IF(L31="Non-Compliant",0,"")))</f>
        <v/>
      </c>
      <c r="N31" s="33"/>
      <c r="O31" s="33"/>
      <c r="P31" s="33"/>
      <c r="Q31" s="31"/>
    </row>
    <row r="32" spans="8:8" ht="23.85">
      <c r="A32" s="30" t="s">
        <v>1023</v>
      </c>
      <c r="B32" s="30" t="s">
        <v>208</v>
      </c>
      <c r="C32" s="30" t="s">
        <v>209</v>
      </c>
      <c r="D32" s="30" t="s">
        <v>210</v>
      </c>
      <c r="E32" s="30" t="s">
        <v>1024</v>
      </c>
      <c r="F32" s="30" t="s">
        <v>212</v>
      </c>
      <c r="G32" s="33" t="s">
        <v>207</v>
      </c>
      <c r="H32" s="44">
        <f>$K$5</f>
        <v>46342.0</v>
      </c>
      <c r="I32" s="44">
        <f>$K$6</f>
        <v>46367.0</v>
      </c>
      <c r="J32" s="33"/>
      <c r="K32" s="33" t="s">
        <v>245</v>
      </c>
      <c r="L32" s="33"/>
      <c r="M32" s="45" t="str">
        <f>IF(L32="Compliant",1,IF(L32="Partially Compliant",0.5,IF(L32="Non-Compliant",0,"")))</f>
        <v/>
      </c>
      <c r="N32" s="33"/>
      <c r="O32" s="33"/>
      <c r="P32" s="33"/>
      <c r="Q32" s="31"/>
    </row>
    <row r="33" spans="8:8" ht="23.85">
      <c r="A33" s="30" t="s">
        <v>1025</v>
      </c>
      <c r="B33" s="30" t="s">
        <v>213</v>
      </c>
      <c r="C33" s="30" t="s">
        <v>214</v>
      </c>
      <c r="D33" s="30" t="s">
        <v>215</v>
      </c>
      <c r="E33" s="30" t="s">
        <v>1026</v>
      </c>
      <c r="F33" s="30" t="s">
        <v>217</v>
      </c>
      <c r="G33" s="33" t="s">
        <v>207</v>
      </c>
      <c r="H33" s="44">
        <f>$K$5</f>
        <v>46342.0</v>
      </c>
      <c r="I33" s="44">
        <f>$K$6</f>
        <v>46367.0</v>
      </c>
      <c r="J33" s="33"/>
      <c r="K33" s="33" t="s">
        <v>245</v>
      </c>
      <c r="L33" s="33"/>
      <c r="M33" s="45" t="str">
        <f>IF(L33="Compliant",1,IF(L33="Partially Compliant",0.5,IF(L33="Non-Compliant",0,"")))</f>
        <v/>
      </c>
      <c r="N33" s="33"/>
      <c r="O33" s="33"/>
      <c r="P33" s="33"/>
      <c r="Q33" s="31"/>
    </row>
    <row r="34" spans="8:8" ht="35.05">
      <c r="A34" s="30" t="s">
        <v>1027</v>
      </c>
      <c r="B34" s="30" t="s">
        <v>218</v>
      </c>
      <c r="C34" s="30" t="s">
        <v>219</v>
      </c>
      <c r="D34" s="30" t="s">
        <v>220</v>
      </c>
      <c r="E34" s="30" t="s">
        <v>1028</v>
      </c>
      <c r="F34" s="30" t="s">
        <v>222</v>
      </c>
      <c r="G34" s="33" t="s">
        <v>146</v>
      </c>
      <c r="H34" s="44">
        <f>$K$5</f>
        <v>46342.0</v>
      </c>
      <c r="I34" s="44">
        <f>$K$6</f>
        <v>46367.0</v>
      </c>
      <c r="J34" s="33"/>
      <c r="K34" s="33" t="s">
        <v>245</v>
      </c>
      <c r="L34" s="33"/>
      <c r="M34" s="45" t="str">
        <f>IF(L34="Compliant",1,IF(L34="Partially Compliant",0.5,IF(L34="Non-Compliant",0,"")))</f>
        <v/>
      </c>
      <c r="N34" s="33"/>
      <c r="O34" s="33"/>
      <c r="P34" s="33"/>
      <c r="Q34" s="31"/>
    </row>
    <row r="35" spans="8:8" ht="35.05">
      <c r="A35" s="30" t="s">
        <v>1029</v>
      </c>
      <c r="B35" s="30" t="s">
        <v>223</v>
      </c>
      <c r="C35" s="30" t="s">
        <v>224</v>
      </c>
      <c r="D35" s="30" t="s">
        <v>225</v>
      </c>
      <c r="E35" s="30" t="s">
        <v>1030</v>
      </c>
      <c r="F35" s="30" t="s">
        <v>227</v>
      </c>
      <c r="G35" s="33" t="s">
        <v>207</v>
      </c>
      <c r="H35" s="44">
        <f>$K$5</f>
        <v>46342.0</v>
      </c>
      <c r="I35" s="44">
        <f>$K$6</f>
        <v>46367.0</v>
      </c>
      <c r="J35" s="33"/>
      <c r="K35" s="33" t="s">
        <v>245</v>
      </c>
      <c r="L35" s="33"/>
      <c r="M35" s="45" t="str">
        <f>IF(L35="Compliant",1,IF(L35="Partially Compliant",0.5,IF(L35="Non-Compliant",0,"")))</f>
        <v/>
      </c>
      <c r="N35" s="33"/>
      <c r="O35" s="33"/>
      <c r="P35" s="33"/>
      <c r="Q35" s="31"/>
    </row>
    <row r="36" spans="8:8" ht="35.05">
      <c r="A36" s="30" t="s">
        <v>1031</v>
      </c>
      <c r="B36" s="30" t="s">
        <v>228</v>
      </c>
      <c r="C36" s="30" t="s">
        <v>229</v>
      </c>
      <c r="D36" s="30" t="s">
        <v>230</v>
      </c>
      <c r="E36" s="30" t="s">
        <v>1032</v>
      </c>
      <c r="F36" s="30" t="s">
        <v>232</v>
      </c>
      <c r="G36" s="33" t="s">
        <v>146</v>
      </c>
      <c r="H36" s="44">
        <f>$K$5</f>
        <v>46342.0</v>
      </c>
      <c r="I36" s="44">
        <f>$K$6</f>
        <v>46367.0</v>
      </c>
      <c r="J36" s="33"/>
      <c r="K36" s="33" t="s">
        <v>245</v>
      </c>
      <c r="L36" s="33"/>
      <c r="M36" s="45" t="str">
        <f>IF(L36="Compliant",1,IF(L36="Partially Compliant",0.5,IF(L36="Non-Compliant",0,"")))</f>
        <v/>
      </c>
      <c r="N36" s="33"/>
      <c r="O36" s="33"/>
      <c r="P36" s="33"/>
      <c r="Q36" s="31"/>
    </row>
    <row r="37" spans="8:8" ht="23.85">
      <c r="A37" s="30" t="s">
        <v>1033</v>
      </c>
      <c r="B37" s="43" t="s">
        <v>1034</v>
      </c>
      <c r="C37" s="30" t="s">
        <v>1035</v>
      </c>
      <c r="D37" s="30" t="s">
        <v>1036</v>
      </c>
      <c r="E37" s="30" t="s">
        <v>1037</v>
      </c>
      <c r="F37" s="30" t="s">
        <v>1038</v>
      </c>
      <c r="G37" s="33" t="s">
        <v>30</v>
      </c>
      <c r="H37" s="44">
        <f>$K$5</f>
        <v>46342.0</v>
      </c>
      <c r="I37" s="44">
        <f>$K$6</f>
        <v>46367.0</v>
      </c>
      <c r="J37" s="33"/>
      <c r="K37" s="33" t="s">
        <v>245</v>
      </c>
      <c r="L37" s="33"/>
      <c r="M37" s="45" t="str">
        <f>IF(L37="Compliant",1,IF(L37="Partially Compliant",0.5,IF(L37="Non-Compliant",0,"")))</f>
        <v/>
      </c>
      <c r="N37" s="33"/>
      <c r="O37" s="33"/>
      <c r="P37" s="33"/>
      <c r="Q37" s="31"/>
    </row>
    <row r="38" spans="8:8" ht="23.85">
      <c r="A38" s="30" t="s">
        <v>1039</v>
      </c>
      <c r="B38" s="43" t="s">
        <v>1040</v>
      </c>
      <c r="C38" s="30" t="s">
        <v>504</v>
      </c>
      <c r="D38" s="30" t="s">
        <v>1041</v>
      </c>
      <c r="E38" s="30" t="s">
        <v>1042</v>
      </c>
      <c r="F38" s="30" t="s">
        <v>1043</v>
      </c>
      <c r="G38" s="33" t="s">
        <v>146</v>
      </c>
      <c r="H38" s="44">
        <f>$K$5</f>
        <v>46342.0</v>
      </c>
      <c r="I38" s="44">
        <f>$K$6</f>
        <v>46367.0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43">
      <formula>"Partially Compliant"</formula>
    </cfRule>
    <cfRule type="cellIs" operator="equal" priority="4" dxfId="44">
      <formula>"Non-Compliant"</formula>
    </cfRule>
    <cfRule type="cellIs" operator="equal" priority="2" dxfId="45">
      <formula>"Compliant"</formula>
    </cfRule>
  </conditionalFormatting>
  <conditionalFormatting sqref="G15:G38">
    <cfRule type="cellIs" operator="equal" priority="5" dxfId="46">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6.xml><?xml version="1.0" encoding="utf-8"?>
<worksheet xmlns:r="http://schemas.openxmlformats.org/officeDocument/2006/relationships" xmlns="http://schemas.openxmlformats.org/spreadsheetml/2006/main">
  <sheetPr>
    <tabColor rgb="FF548235"/>
    <pageSetUpPr fitToPage="1"/>
  </sheetPr>
  <dimension ref="A1:R41"/>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1044</v>
      </c>
      <c r="N1" s="34" t="s">
        <v>277</v>
      </c>
    </row>
    <row r="2" spans="8:8" ht="15.0">
      <c r="A2" s="12" t="s">
        <v>278</v>
      </c>
    </row>
    <row r="4" spans="8:8" ht="15.75" customHeight="1">
      <c r="A4" s="35" t="s">
        <v>59</v>
      </c>
      <c r="B4" s="35"/>
      <c r="C4" s="36" t="s">
        <v>84</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85</v>
      </c>
      <c r="D6" s="36"/>
      <c r="E6" s="36"/>
      <c r="F6" s="36"/>
      <c r="H6" s="35" t="s">
        <v>283</v>
      </c>
      <c r="I6" s="35"/>
      <c r="J6" s="35"/>
      <c r="K6" s="38">
        <v>46409.0</v>
      </c>
    </row>
    <row r="7" spans="8:8" ht="15.75" customHeight="1">
      <c r="A7" s="35" t="s">
        <v>61</v>
      </c>
      <c r="B7" s="35"/>
      <c r="C7" s="39" t="s">
        <v>280</v>
      </c>
      <c r="D7" s="39"/>
      <c r="E7" s="39"/>
      <c r="F7" s="39"/>
      <c r="H7" s="35" t="s">
        <v>284</v>
      </c>
      <c r="I7" s="35"/>
      <c r="J7" s="35"/>
      <c r="K7" s="40">
        <f>COUNTA(A15:A39)</f>
        <v>25.0</v>
      </c>
    </row>
    <row r="8" spans="8:8" ht="15.75" customHeight="1">
      <c r="A8" s="35" t="s">
        <v>285</v>
      </c>
      <c r="B8" s="35"/>
      <c r="C8" s="36" t="s">
        <v>1045</v>
      </c>
      <c r="D8" s="36"/>
      <c r="E8" s="36"/>
      <c r="F8" s="36"/>
      <c r="H8" s="35" t="s">
        <v>34</v>
      </c>
      <c r="I8" s="35"/>
      <c r="J8" s="35"/>
      <c r="K8" s="40">
        <f>COUNTIF(K15:K39,"Completed")</f>
        <v>0.0</v>
      </c>
    </row>
    <row r="9" spans="8:8" ht="27.75" customHeight="1">
      <c r="A9" s="35" t="s">
        <v>287</v>
      </c>
      <c r="B9" s="35"/>
      <c r="C9" s="36" t="s">
        <v>1046</v>
      </c>
      <c r="D9" s="36"/>
      <c r="E9" s="36"/>
      <c r="F9" s="36"/>
      <c r="H9" s="35" t="s">
        <v>64</v>
      </c>
      <c r="I9" s="35"/>
      <c r="J9" s="35"/>
      <c r="K9" s="40">
        <f>COUNTIF(L15:L39,"Compliant")</f>
        <v>0.0</v>
      </c>
    </row>
    <row r="10" spans="8:8" ht="15.75" customHeight="1">
      <c r="A10" s="35" t="s">
        <v>289</v>
      </c>
      <c r="B10" s="35"/>
      <c r="C10" s="36" t="s">
        <v>1047</v>
      </c>
      <c r="D10" s="36"/>
      <c r="E10" s="36"/>
      <c r="F10" s="36"/>
      <c r="H10" s="35" t="s">
        <v>36</v>
      </c>
      <c r="I10" s="35"/>
      <c r="J10" s="35"/>
      <c r="K10" s="40">
        <f>COUNTIF(L15:L39,"Partially Compliant")</f>
        <v>0.0</v>
      </c>
    </row>
    <row r="11" spans="8:8" ht="15.75" customHeight="1">
      <c r="A11" s="35" t="s">
        <v>291</v>
      </c>
      <c r="B11" s="35"/>
      <c r="C11" s="39" t="s">
        <v>30</v>
      </c>
      <c r="D11" s="39"/>
      <c r="E11" s="39"/>
      <c r="F11" s="39"/>
      <c r="H11" s="35" t="s">
        <v>49</v>
      </c>
      <c r="I11" s="35"/>
      <c r="J11" s="35"/>
      <c r="K11" s="40">
        <f>COUNTIF(L15:L39,"Non-Compliant")</f>
        <v>0.0</v>
      </c>
    </row>
    <row r="12" spans="8:8" ht="15.0">
      <c r="H12" s="35" t="s">
        <v>292</v>
      </c>
      <c r="I12" s="35"/>
      <c r="J12" s="35"/>
      <c r="K12" s="40">
        <f>COUNTIF(L15:L39,"Not Applicable")</f>
        <v>0.0</v>
      </c>
    </row>
    <row r="13" spans="8:8" ht="15.0">
      <c r="H13" s="35" t="s">
        <v>293</v>
      </c>
      <c r="I13" s="35"/>
      <c r="J13" s="35"/>
      <c r="K13" s="41" t="str">
        <f>_xlfn.IFERROR(AVERAGE(M15:M39),"")</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1048</v>
      </c>
      <c r="B15" s="30" t="s">
        <v>122</v>
      </c>
      <c r="C15" s="30" t="s">
        <v>123</v>
      </c>
      <c r="D15" s="30" t="s">
        <v>124</v>
      </c>
      <c r="E15" s="30" t="s">
        <v>1049</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1050</v>
      </c>
      <c r="B16" s="30" t="s">
        <v>127</v>
      </c>
      <c r="C16" s="30" t="s">
        <v>128</v>
      </c>
      <c r="D16" s="30" t="s">
        <v>129</v>
      </c>
      <c r="E16" s="30" t="s">
        <v>1051</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1052</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1053</v>
      </c>
      <c r="B18" s="30" t="s">
        <v>28</v>
      </c>
      <c r="C18" s="30" t="s">
        <v>137</v>
      </c>
      <c r="D18" s="30" t="s">
        <v>138</v>
      </c>
      <c r="E18" s="30" t="s">
        <v>1054</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1055</v>
      </c>
      <c r="B19" s="30" t="s">
        <v>141</v>
      </c>
      <c r="C19" s="30" t="s">
        <v>142</v>
      </c>
      <c r="D19" s="30" t="s">
        <v>143</v>
      </c>
      <c r="E19" s="30" t="s">
        <v>1056</v>
      </c>
      <c r="F19" s="30" t="s">
        <v>145</v>
      </c>
      <c r="G19" s="33" t="s">
        <v>30</v>
      </c>
      <c r="H19" s="44">
        <f>$K$5</f>
        <v>46391.0</v>
      </c>
      <c r="I19" s="44">
        <f>$K$6</f>
        <v>46409.0</v>
      </c>
      <c r="J19" s="33"/>
      <c r="K19" s="33" t="s">
        <v>245</v>
      </c>
      <c r="L19" s="33"/>
      <c r="M19" s="45" t="str">
        <f>IF(L19="Compliant",1,IF(L19="Partially Compliant",0.5,IF(L19="Non-Compliant",0,"")))</f>
        <v/>
      </c>
      <c r="N19" s="33"/>
      <c r="O19" s="33"/>
      <c r="P19" s="33"/>
      <c r="Q19" s="31"/>
    </row>
    <row r="20" spans="8:8" ht="46.25">
      <c r="A20" s="30" t="s">
        <v>1057</v>
      </c>
      <c r="B20" s="30" t="s">
        <v>147</v>
      </c>
      <c r="C20" s="30" t="s">
        <v>148</v>
      </c>
      <c r="D20" s="30" t="s">
        <v>149</v>
      </c>
      <c r="E20" s="30" t="s">
        <v>1058</v>
      </c>
      <c r="F20" s="30" t="s">
        <v>151</v>
      </c>
      <c r="G20" s="33" t="s">
        <v>30</v>
      </c>
      <c r="H20" s="44">
        <f>$K$5</f>
        <v>46391.0</v>
      </c>
      <c r="I20" s="44">
        <f>$K$6</f>
        <v>46409.0</v>
      </c>
      <c r="J20" s="33"/>
      <c r="K20" s="33" t="s">
        <v>245</v>
      </c>
      <c r="L20" s="33"/>
      <c r="M20" s="45" t="str">
        <f>IF(L20="Compliant",1,IF(L20="Partially Compliant",0.5,IF(L20="Non-Compliant",0,"")))</f>
        <v/>
      </c>
      <c r="N20" s="33"/>
      <c r="O20" s="33"/>
      <c r="P20" s="33"/>
      <c r="Q20" s="31"/>
    </row>
    <row r="21" spans="8:8" ht="35.05">
      <c r="A21" s="30" t="s">
        <v>1059</v>
      </c>
      <c r="B21" s="30" t="s">
        <v>152</v>
      </c>
      <c r="C21" s="30" t="s">
        <v>153</v>
      </c>
      <c r="D21" s="30" t="s">
        <v>154</v>
      </c>
      <c r="E21" s="30" t="s">
        <v>155</v>
      </c>
      <c r="F21" s="30" t="s">
        <v>156</v>
      </c>
      <c r="G21" s="33" t="s">
        <v>30</v>
      </c>
      <c r="H21" s="44">
        <f>$K$5</f>
        <v>46391.0</v>
      </c>
      <c r="I21" s="44">
        <f>$K$6</f>
        <v>46409.0</v>
      </c>
      <c r="J21" s="33"/>
      <c r="K21" s="33" t="s">
        <v>245</v>
      </c>
      <c r="L21" s="33"/>
      <c r="M21" s="45" t="str">
        <f>IF(L21="Compliant",1,IF(L21="Partially Compliant",0.5,IF(L21="Non-Compliant",0,"")))</f>
        <v/>
      </c>
      <c r="N21" s="33"/>
      <c r="O21" s="33"/>
      <c r="P21" s="33"/>
      <c r="Q21" s="31"/>
    </row>
    <row r="22" spans="8:8" ht="35.05">
      <c r="A22" s="30" t="s">
        <v>1060</v>
      </c>
      <c r="B22" s="30" t="s">
        <v>157</v>
      </c>
      <c r="C22" s="30" t="s">
        <v>158</v>
      </c>
      <c r="D22" s="30" t="s">
        <v>159</v>
      </c>
      <c r="E22" s="30" t="s">
        <v>160</v>
      </c>
      <c r="F22" s="30" t="s">
        <v>161</v>
      </c>
      <c r="G22" s="33" t="s">
        <v>30</v>
      </c>
      <c r="H22" s="44">
        <f>$K$5</f>
        <v>46391.0</v>
      </c>
      <c r="I22" s="44">
        <f>$K$6</f>
        <v>46409.0</v>
      </c>
      <c r="J22" s="33"/>
      <c r="K22" s="33" t="s">
        <v>245</v>
      </c>
      <c r="L22" s="33"/>
      <c r="M22" s="45" t="str">
        <f>IF(L22="Compliant",1,IF(L22="Partially Compliant",0.5,IF(L22="Non-Compliant",0,"")))</f>
        <v/>
      </c>
      <c r="N22" s="33"/>
      <c r="O22" s="33"/>
      <c r="P22" s="33"/>
      <c r="Q22" s="31"/>
    </row>
    <row r="23" spans="8:8" ht="35.05">
      <c r="A23" s="30" t="s">
        <v>1061</v>
      </c>
      <c r="B23" s="30" t="s">
        <v>162</v>
      </c>
      <c r="C23" s="30" t="s">
        <v>163</v>
      </c>
      <c r="D23" s="30" t="s">
        <v>164</v>
      </c>
      <c r="E23" s="30" t="s">
        <v>1062</v>
      </c>
      <c r="F23" s="30" t="s">
        <v>166</v>
      </c>
      <c r="G23" s="33" t="s">
        <v>30</v>
      </c>
      <c r="H23" s="44">
        <f>$K$5</f>
        <v>46391.0</v>
      </c>
      <c r="I23" s="44">
        <f>$K$6</f>
        <v>46409.0</v>
      </c>
      <c r="J23" s="33"/>
      <c r="K23" s="33" t="s">
        <v>245</v>
      </c>
      <c r="L23" s="33"/>
      <c r="M23" s="45" t="str">
        <f>IF(L23="Compliant",1,IF(L23="Partially Compliant",0.5,IF(L23="Non-Compliant",0,"")))</f>
        <v/>
      </c>
      <c r="N23" s="33"/>
      <c r="O23" s="33"/>
      <c r="P23" s="33"/>
      <c r="Q23" s="31"/>
    </row>
    <row r="24" spans="8:8" ht="35.05">
      <c r="A24" s="30" t="s">
        <v>1063</v>
      </c>
      <c r="B24" s="30" t="s">
        <v>167</v>
      </c>
      <c r="C24" s="30" t="s">
        <v>168</v>
      </c>
      <c r="D24" s="30" t="s">
        <v>169</v>
      </c>
      <c r="E24" s="30" t="s">
        <v>1064</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1065</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46.25">
      <c r="A26" s="30" t="s">
        <v>1066</v>
      </c>
      <c r="B26" s="30" t="s">
        <v>177</v>
      </c>
      <c r="C26" s="30" t="s">
        <v>178</v>
      </c>
      <c r="D26" s="30" t="s">
        <v>1067</v>
      </c>
      <c r="E26" s="30" t="s">
        <v>1068</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1069</v>
      </c>
      <c r="B27" s="30" t="s">
        <v>182</v>
      </c>
      <c r="C27" s="30" t="s">
        <v>183</v>
      </c>
      <c r="D27" s="30" t="s">
        <v>184</v>
      </c>
      <c r="E27" s="30" t="s">
        <v>1070</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46.25">
      <c r="A28" s="30" t="s">
        <v>1071</v>
      </c>
      <c r="B28" s="30" t="s">
        <v>187</v>
      </c>
      <c r="C28" s="30" t="s">
        <v>188</v>
      </c>
      <c r="D28" s="30" t="s">
        <v>189</v>
      </c>
      <c r="E28" s="30" t="s">
        <v>1072</v>
      </c>
      <c r="F28" s="30" t="s">
        <v>191</v>
      </c>
      <c r="G28" s="33" t="s">
        <v>30</v>
      </c>
      <c r="H28" s="44">
        <f>$K$5</f>
        <v>46391.0</v>
      </c>
      <c r="I28" s="44">
        <f>$K$6</f>
        <v>46409.0</v>
      </c>
      <c r="J28" s="33"/>
      <c r="K28" s="33" t="s">
        <v>245</v>
      </c>
      <c r="L28" s="33"/>
      <c r="M28" s="45" t="str">
        <f>IF(L28="Compliant",1,IF(L28="Partially Compliant",0.5,IF(L28="Non-Compliant",0,"")))</f>
        <v/>
      </c>
      <c r="N28" s="33"/>
      <c r="O28" s="33"/>
      <c r="P28" s="33"/>
      <c r="Q28" s="31"/>
    </row>
    <row r="29" spans="8:8" ht="35.05">
      <c r="A29" s="30" t="s">
        <v>1073</v>
      </c>
      <c r="B29" s="30" t="s">
        <v>192</v>
      </c>
      <c r="C29" s="30" t="s">
        <v>193</v>
      </c>
      <c r="D29" s="30" t="s">
        <v>194</v>
      </c>
      <c r="E29" s="30" t="s">
        <v>1074</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1075</v>
      </c>
      <c r="B30" s="30" t="s">
        <v>197</v>
      </c>
      <c r="C30" s="30" t="s">
        <v>198</v>
      </c>
      <c r="D30" s="30" t="s">
        <v>199</v>
      </c>
      <c r="E30" s="30" t="s">
        <v>1076</v>
      </c>
      <c r="F30" s="30" t="s">
        <v>201</v>
      </c>
      <c r="G30" s="33" t="s">
        <v>30</v>
      </c>
      <c r="H30" s="44">
        <f>$K$5</f>
        <v>46391.0</v>
      </c>
      <c r="I30" s="44">
        <f>$K$6</f>
        <v>46409.0</v>
      </c>
      <c r="J30" s="33"/>
      <c r="K30" s="33" t="s">
        <v>245</v>
      </c>
      <c r="L30" s="33"/>
      <c r="M30" s="45" t="str">
        <f>IF(L30="Compliant",1,IF(L30="Partially Compliant",0.5,IF(L30="Non-Compliant",0,"")))</f>
        <v/>
      </c>
      <c r="N30" s="33"/>
      <c r="O30" s="33"/>
      <c r="P30" s="33"/>
      <c r="Q30" s="31"/>
    </row>
    <row r="31" spans="8:8" ht="35.05">
      <c r="A31" s="30" t="s">
        <v>1077</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1078</v>
      </c>
      <c r="B32" s="30" t="s">
        <v>208</v>
      </c>
      <c r="C32" s="30" t="s">
        <v>209</v>
      </c>
      <c r="D32" s="30" t="s">
        <v>210</v>
      </c>
      <c r="E32" s="30" t="s">
        <v>1079</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1080</v>
      </c>
      <c r="B33" s="30" t="s">
        <v>213</v>
      </c>
      <c r="C33" s="30" t="s">
        <v>214</v>
      </c>
      <c r="D33" s="30" t="s">
        <v>215</v>
      </c>
      <c r="E33" s="30" t="s">
        <v>1081</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35.05">
      <c r="A34" s="30" t="s">
        <v>1082</v>
      </c>
      <c r="B34" s="30" t="s">
        <v>218</v>
      </c>
      <c r="C34" s="30" t="s">
        <v>219</v>
      </c>
      <c r="D34" s="30" t="s">
        <v>220</v>
      </c>
      <c r="E34" s="30" t="s">
        <v>1083</v>
      </c>
      <c r="F34" s="30" t="s">
        <v>222</v>
      </c>
      <c r="G34" s="33" t="s">
        <v>30</v>
      </c>
      <c r="H34" s="44">
        <f>$K$5</f>
        <v>46391.0</v>
      </c>
      <c r="I34" s="44">
        <f>$K$6</f>
        <v>46409.0</v>
      </c>
      <c r="J34" s="33"/>
      <c r="K34" s="33" t="s">
        <v>245</v>
      </c>
      <c r="L34" s="33"/>
      <c r="M34" s="45" t="str">
        <f>IF(L34="Compliant",1,IF(L34="Partially Compliant",0.5,IF(L34="Non-Compliant",0,"")))</f>
        <v/>
      </c>
      <c r="N34" s="33"/>
      <c r="O34" s="33"/>
      <c r="P34" s="33"/>
      <c r="Q34" s="31"/>
    </row>
    <row r="35" spans="8:8" ht="35.05">
      <c r="A35" s="30" t="s">
        <v>1084</v>
      </c>
      <c r="B35" s="30" t="s">
        <v>223</v>
      </c>
      <c r="C35" s="30" t="s">
        <v>224</v>
      </c>
      <c r="D35" s="30" t="s">
        <v>225</v>
      </c>
      <c r="E35" s="30" t="s">
        <v>1085</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35.05">
      <c r="A36" s="30" t="s">
        <v>1086</v>
      </c>
      <c r="B36" s="30" t="s">
        <v>228</v>
      </c>
      <c r="C36" s="30" t="s">
        <v>229</v>
      </c>
      <c r="D36" s="30" t="s">
        <v>230</v>
      </c>
      <c r="E36" s="30" t="s">
        <v>1087</v>
      </c>
      <c r="F36" s="30" t="s">
        <v>232</v>
      </c>
      <c r="G36" s="33" t="s">
        <v>30</v>
      </c>
      <c r="H36" s="44">
        <f>$K$5</f>
        <v>46391.0</v>
      </c>
      <c r="I36" s="44">
        <f>$K$6</f>
        <v>46409.0</v>
      </c>
      <c r="J36" s="33"/>
      <c r="K36" s="33" t="s">
        <v>245</v>
      </c>
      <c r="L36" s="33"/>
      <c r="M36" s="45" t="str">
        <f>IF(L36="Compliant",1,IF(L36="Partially Compliant",0.5,IF(L36="Non-Compliant",0,"")))</f>
        <v/>
      </c>
      <c r="N36" s="33"/>
      <c r="O36" s="33"/>
      <c r="P36" s="33"/>
      <c r="Q36" s="31"/>
    </row>
    <row r="37" spans="8:8" ht="23.85">
      <c r="A37" s="30" t="s">
        <v>1088</v>
      </c>
      <c r="B37" s="43" t="s">
        <v>1089</v>
      </c>
      <c r="C37" s="30" t="s">
        <v>1090</v>
      </c>
      <c r="D37" s="30" t="s">
        <v>1091</v>
      </c>
      <c r="E37" s="30" t="s">
        <v>1092</v>
      </c>
      <c r="F37" s="30" t="s">
        <v>1093</v>
      </c>
      <c r="G37" s="33" t="s">
        <v>146</v>
      </c>
      <c r="H37" s="44">
        <f>$K$5</f>
        <v>46391.0</v>
      </c>
      <c r="I37" s="44">
        <f>$K$6</f>
        <v>46409.0</v>
      </c>
      <c r="J37" s="33"/>
      <c r="K37" s="33" t="s">
        <v>245</v>
      </c>
      <c r="L37" s="33"/>
      <c r="M37" s="45" t="str">
        <f>IF(L37="Compliant",1,IF(L37="Partially Compliant",0.5,IF(L37="Non-Compliant",0,"")))</f>
        <v/>
      </c>
      <c r="N37" s="33"/>
      <c r="O37" s="33"/>
      <c r="P37" s="33"/>
      <c r="Q37" s="31"/>
    </row>
    <row r="38" spans="8:8" ht="35.05">
      <c r="A38" s="30" t="s">
        <v>1094</v>
      </c>
      <c r="B38" s="43" t="s">
        <v>1095</v>
      </c>
      <c r="C38" s="30" t="s">
        <v>1096</v>
      </c>
      <c r="D38" s="30" t="s">
        <v>1097</v>
      </c>
      <c r="E38" s="30" t="s">
        <v>1098</v>
      </c>
      <c r="F38" s="30" t="s">
        <v>1099</v>
      </c>
      <c r="G38" s="33" t="s">
        <v>146</v>
      </c>
      <c r="H38" s="44">
        <f>$K$5</f>
        <v>46391.0</v>
      </c>
      <c r="I38" s="44">
        <f>$K$6</f>
        <v>46409.0</v>
      </c>
      <c r="J38" s="33"/>
      <c r="K38" s="33" t="s">
        <v>245</v>
      </c>
      <c r="L38" s="33"/>
      <c r="M38" s="45" t="str">
        <f>IF(L38="Compliant",1,IF(L38="Partially Compliant",0.5,IF(L38="Non-Compliant",0,"")))</f>
        <v/>
      </c>
      <c r="N38" s="33"/>
      <c r="O38" s="33"/>
      <c r="P38" s="33"/>
      <c r="Q38" s="31"/>
    </row>
    <row r="39" spans="8:8" ht="23.85">
      <c r="A39" s="30" t="s">
        <v>1100</v>
      </c>
      <c r="B39" s="43" t="s">
        <v>1101</v>
      </c>
      <c r="C39" s="30" t="s">
        <v>168</v>
      </c>
      <c r="D39" s="30" t="s">
        <v>1102</v>
      </c>
      <c r="E39" s="30" t="s">
        <v>1103</v>
      </c>
      <c r="F39" s="30" t="s">
        <v>1104</v>
      </c>
      <c r="G39" s="33" t="s">
        <v>30</v>
      </c>
      <c r="H39" s="44">
        <f>$K$5</f>
        <v>46391.0</v>
      </c>
      <c r="I39" s="44">
        <f>$K$6</f>
        <v>46409.0</v>
      </c>
      <c r="J39" s="33"/>
      <c r="K39" s="33" t="s">
        <v>245</v>
      </c>
      <c r="L39" s="33"/>
      <c r="M39" s="45" t="str">
        <f>IF(L39="Compliant",1,IF(L39="Partially Compliant",0.5,IF(L39="Non-Compliant",0,"")))</f>
        <v/>
      </c>
      <c r="N39" s="33"/>
      <c r="O39" s="33"/>
      <c r="P39" s="33"/>
      <c r="Q39" s="31"/>
    </row>
    <row r="41" spans="8:8" ht="15.0">
      <c r="A41" s="27" t="s">
        <v>439</v>
      </c>
    </row>
  </sheetData>
  <autoFilter ref="A14:Q39">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9">
    <cfRule type="cellIs" operator="equal" priority="3" dxfId="47">
      <formula>"Partially Compliant"</formula>
    </cfRule>
    <cfRule type="cellIs" operator="equal" priority="4" dxfId="48">
      <formula>"Non-Compliant"</formula>
    </cfRule>
    <cfRule type="cellIs" operator="equal" priority="2" dxfId="49">
      <formula>"Compliant"</formula>
    </cfRule>
  </conditionalFormatting>
  <conditionalFormatting sqref="G15:G39">
    <cfRule type="cellIs" operator="equal" priority="5" dxfId="50">
      <formula>"High"</formula>
    </cfRule>
  </conditionalFormatting>
  <dataValidations count="4">
    <dataValidation allowBlank="1" type="list" errorStyle="stop" sqref="G15:G39">
      <formula1>"High,Medium,Low"</formula1>
      <formula2>0</formula2>
    </dataValidation>
    <dataValidation allowBlank="1" type="list" errorStyle="stop" sqref="K15:K39">
      <formula1>"Not Started,In Progress,Fieldwork Done,Reported,Completed"</formula1>
      <formula2>0</formula2>
    </dataValidation>
    <dataValidation allowBlank="1" type="list" errorStyle="stop" sqref="L15:L39">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7.xml><?xml version="1.0" encoding="utf-8"?>
<worksheet xmlns:r="http://schemas.openxmlformats.org/officeDocument/2006/relationships" xmlns="http://schemas.openxmlformats.org/spreadsheetml/2006/main">
  <sheetPr>
    <tabColor rgb="FF548235"/>
    <pageSetUpPr fitToPage="1"/>
  </sheetPr>
  <dimension ref="A1:R42"/>
  <sheetViews>
    <sheetView workbookViewId="0" showGridLines="0" zoomScale="90">
      <pane xSplit="2" ySplit="14" topLeftCell="C18"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1105</v>
      </c>
      <c r="N1" s="34" t="s">
        <v>277</v>
      </c>
    </row>
    <row r="2" spans="8:8" ht="15.0">
      <c r="A2" s="12" t="s">
        <v>278</v>
      </c>
    </row>
    <row r="4" spans="8:8" ht="15.75" customHeight="1">
      <c r="A4" s="35" t="s">
        <v>59</v>
      </c>
      <c r="B4" s="35"/>
      <c r="C4" s="36" t="s">
        <v>86</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85</v>
      </c>
      <c r="D6" s="36"/>
      <c r="E6" s="36"/>
      <c r="F6" s="36"/>
      <c r="H6" s="35" t="s">
        <v>283</v>
      </c>
      <c r="I6" s="35"/>
      <c r="J6" s="35"/>
      <c r="K6" s="38">
        <v>46409.0</v>
      </c>
    </row>
    <row r="7" spans="8:8" ht="15.75" customHeight="1">
      <c r="A7" s="35" t="s">
        <v>61</v>
      </c>
      <c r="B7" s="35"/>
      <c r="C7" s="39" t="s">
        <v>280</v>
      </c>
      <c r="D7" s="39"/>
      <c r="E7" s="39"/>
      <c r="F7" s="39"/>
      <c r="H7" s="35" t="s">
        <v>284</v>
      </c>
      <c r="I7" s="35"/>
      <c r="J7" s="35"/>
      <c r="K7" s="40">
        <f>COUNTA(A15:A40)</f>
        <v>26.0</v>
      </c>
    </row>
    <row r="8" spans="8:8" ht="15.75" customHeight="1">
      <c r="A8" s="35" t="s">
        <v>285</v>
      </c>
      <c r="B8" s="35"/>
      <c r="C8" s="36" t="s">
        <v>1106</v>
      </c>
      <c r="D8" s="36"/>
      <c r="E8" s="36"/>
      <c r="F8" s="36"/>
      <c r="H8" s="35" t="s">
        <v>34</v>
      </c>
      <c r="I8" s="35"/>
      <c r="J8" s="35"/>
      <c r="K8" s="40">
        <f>COUNTIF(K15:K40,"Completed")</f>
        <v>0.0</v>
      </c>
    </row>
    <row r="9" spans="8:8" ht="15.75" customHeight="1">
      <c r="A9" s="35" t="s">
        <v>287</v>
      </c>
      <c r="B9" s="35"/>
      <c r="C9" s="36" t="s">
        <v>1107</v>
      </c>
      <c r="D9" s="36"/>
      <c r="E9" s="36"/>
      <c r="F9" s="36"/>
      <c r="H9" s="35" t="s">
        <v>64</v>
      </c>
      <c r="I9" s="35"/>
      <c r="J9" s="35"/>
      <c r="K9" s="40">
        <f>COUNTIF(L15:L40,"Compliant")</f>
        <v>0.0</v>
      </c>
    </row>
    <row r="10" spans="8:8" ht="15.75" customHeight="1">
      <c r="A10" s="35" t="s">
        <v>289</v>
      </c>
      <c r="B10" s="35"/>
      <c r="C10" s="36" t="s">
        <v>1108</v>
      </c>
      <c r="D10" s="36"/>
      <c r="E10" s="36"/>
      <c r="F10" s="36"/>
      <c r="H10" s="35" t="s">
        <v>36</v>
      </c>
      <c r="I10" s="35"/>
      <c r="J10" s="35"/>
      <c r="K10" s="40">
        <f>COUNTIF(L15:L40,"Partially Compliant")</f>
        <v>0.0</v>
      </c>
    </row>
    <row r="11" spans="8:8" ht="15.75" customHeight="1">
      <c r="A11" s="35" t="s">
        <v>291</v>
      </c>
      <c r="B11" s="35"/>
      <c r="C11" s="39" t="s">
        <v>30</v>
      </c>
      <c r="D11" s="39"/>
      <c r="E11" s="39"/>
      <c r="F11" s="39"/>
      <c r="H11" s="35" t="s">
        <v>49</v>
      </c>
      <c r="I11" s="35"/>
      <c r="J11" s="35"/>
      <c r="K11" s="40">
        <f>COUNTIF(L15:L40,"Non-Compliant")</f>
        <v>0.0</v>
      </c>
    </row>
    <row r="12" spans="8:8" ht="15.0">
      <c r="H12" s="35" t="s">
        <v>292</v>
      </c>
      <c r="I12" s="35"/>
      <c r="J12" s="35"/>
      <c r="K12" s="40">
        <f>COUNTIF(L15:L40,"Not Applicable")</f>
        <v>0.0</v>
      </c>
    </row>
    <row r="13" spans="8:8" ht="15.0">
      <c r="H13" s="35" t="s">
        <v>293</v>
      </c>
      <c r="I13" s="35"/>
      <c r="J13" s="35"/>
      <c r="K13" s="41" t="str">
        <f>_xlfn.IFERROR(AVERAGE(M15:M40),"")</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1109</v>
      </c>
      <c r="B15" s="30" t="s">
        <v>122</v>
      </c>
      <c r="C15" s="30" t="s">
        <v>123</v>
      </c>
      <c r="D15" s="30" t="s">
        <v>124</v>
      </c>
      <c r="E15" s="30" t="s">
        <v>1110</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1111</v>
      </c>
      <c r="B16" s="30" t="s">
        <v>127</v>
      </c>
      <c r="C16" s="30" t="s">
        <v>128</v>
      </c>
      <c r="D16" s="30" t="s">
        <v>129</v>
      </c>
      <c r="E16" s="30" t="s">
        <v>1112</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1113</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26</v>
      </c>
      <c r="B18" s="30" t="s">
        <v>28</v>
      </c>
      <c r="C18" s="30" t="s">
        <v>137</v>
      </c>
      <c r="D18" s="30" t="s">
        <v>138</v>
      </c>
      <c r="E18" s="30" t="s">
        <v>1114</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1115</v>
      </c>
      <c r="B19" s="30" t="s">
        <v>141</v>
      </c>
      <c r="C19" s="30" t="s">
        <v>142</v>
      </c>
      <c r="D19" s="30" t="s">
        <v>143</v>
      </c>
      <c r="E19" s="30" t="s">
        <v>1116</v>
      </c>
      <c r="F19" s="30" t="s">
        <v>145</v>
      </c>
      <c r="G19" s="33" t="s">
        <v>30</v>
      </c>
      <c r="H19" s="44">
        <f>$K$5</f>
        <v>46391.0</v>
      </c>
      <c r="I19" s="44">
        <f>$K$6</f>
        <v>46409.0</v>
      </c>
      <c r="J19" s="33"/>
      <c r="K19" s="33" t="s">
        <v>245</v>
      </c>
      <c r="L19" s="33"/>
      <c r="M19" s="45" t="str">
        <f>IF(L19="Compliant",1,IF(L19="Partially Compliant",0.5,IF(L19="Non-Compliant",0,"")))</f>
        <v/>
      </c>
      <c r="N19" s="33"/>
      <c r="O19" s="33"/>
      <c r="P19" s="33"/>
      <c r="Q19" s="31"/>
    </row>
    <row r="20" spans="8:8" ht="46.25">
      <c r="A20" s="30" t="s">
        <v>1117</v>
      </c>
      <c r="B20" s="30" t="s">
        <v>147</v>
      </c>
      <c r="C20" s="30" t="s">
        <v>148</v>
      </c>
      <c r="D20" s="30" t="s">
        <v>149</v>
      </c>
      <c r="E20" s="30" t="s">
        <v>1118</v>
      </c>
      <c r="F20" s="30" t="s">
        <v>151</v>
      </c>
      <c r="G20" s="33" t="s">
        <v>30</v>
      </c>
      <c r="H20" s="44">
        <f>$K$5</f>
        <v>46391.0</v>
      </c>
      <c r="I20" s="44">
        <f>$K$6</f>
        <v>46409.0</v>
      </c>
      <c r="J20" s="33"/>
      <c r="K20" s="33" t="s">
        <v>245</v>
      </c>
      <c r="L20" s="33"/>
      <c r="M20" s="45" t="str">
        <f>IF(L20="Compliant",1,IF(L20="Partially Compliant",0.5,IF(L20="Non-Compliant",0,"")))</f>
        <v/>
      </c>
      <c r="N20" s="33"/>
      <c r="O20" s="33"/>
      <c r="P20" s="33"/>
      <c r="Q20" s="31"/>
    </row>
    <row r="21" spans="8:8" ht="35.05">
      <c r="A21" s="30" t="s">
        <v>1119</v>
      </c>
      <c r="B21" s="30" t="s">
        <v>152</v>
      </c>
      <c r="C21" s="30" t="s">
        <v>153</v>
      </c>
      <c r="D21" s="30" t="s">
        <v>154</v>
      </c>
      <c r="E21" s="30" t="s">
        <v>155</v>
      </c>
      <c r="F21" s="30" t="s">
        <v>156</v>
      </c>
      <c r="G21" s="33" t="s">
        <v>30</v>
      </c>
      <c r="H21" s="44">
        <f>$K$5</f>
        <v>46391.0</v>
      </c>
      <c r="I21" s="44">
        <f>$K$6</f>
        <v>46409.0</v>
      </c>
      <c r="J21" s="33"/>
      <c r="K21" s="33" t="s">
        <v>245</v>
      </c>
      <c r="L21" s="33"/>
      <c r="M21" s="45" t="str">
        <f>IF(L21="Compliant",1,IF(L21="Partially Compliant",0.5,IF(L21="Non-Compliant",0,"")))</f>
        <v/>
      </c>
      <c r="N21" s="33"/>
      <c r="O21" s="33"/>
      <c r="P21" s="33"/>
      <c r="Q21" s="31"/>
    </row>
    <row r="22" spans="8:8" ht="35.05">
      <c r="A22" s="30" t="s">
        <v>1120</v>
      </c>
      <c r="B22" s="30" t="s">
        <v>157</v>
      </c>
      <c r="C22" s="30" t="s">
        <v>158</v>
      </c>
      <c r="D22" s="30" t="s">
        <v>159</v>
      </c>
      <c r="E22" s="30" t="s">
        <v>160</v>
      </c>
      <c r="F22" s="30" t="s">
        <v>161</v>
      </c>
      <c r="G22" s="33" t="s">
        <v>30</v>
      </c>
      <c r="H22" s="44">
        <f>$K$5</f>
        <v>46391.0</v>
      </c>
      <c r="I22" s="44">
        <f>$K$6</f>
        <v>46409.0</v>
      </c>
      <c r="J22" s="33"/>
      <c r="K22" s="33" t="s">
        <v>245</v>
      </c>
      <c r="L22" s="33"/>
      <c r="M22" s="45" t="str">
        <f>IF(L22="Compliant",1,IF(L22="Partially Compliant",0.5,IF(L22="Non-Compliant",0,"")))</f>
        <v/>
      </c>
      <c r="N22" s="33"/>
      <c r="O22" s="33"/>
      <c r="P22" s="33"/>
      <c r="Q22" s="31"/>
    </row>
    <row r="23" spans="8:8" ht="35.05">
      <c r="A23" s="30" t="s">
        <v>1121</v>
      </c>
      <c r="B23" s="30" t="s">
        <v>162</v>
      </c>
      <c r="C23" s="30" t="s">
        <v>163</v>
      </c>
      <c r="D23" s="30" t="s">
        <v>164</v>
      </c>
      <c r="E23" s="30" t="s">
        <v>1122</v>
      </c>
      <c r="F23" s="30" t="s">
        <v>166</v>
      </c>
      <c r="G23" s="33" t="s">
        <v>30</v>
      </c>
      <c r="H23" s="44">
        <f>$K$5</f>
        <v>46391.0</v>
      </c>
      <c r="I23" s="44">
        <f>$K$6</f>
        <v>46409.0</v>
      </c>
      <c r="J23" s="33"/>
      <c r="K23" s="33" t="s">
        <v>245</v>
      </c>
      <c r="L23" s="33"/>
      <c r="M23" s="45" t="str">
        <f>IF(L23="Compliant",1,IF(L23="Partially Compliant",0.5,IF(L23="Non-Compliant",0,"")))</f>
        <v/>
      </c>
      <c r="N23" s="33"/>
      <c r="O23" s="33"/>
      <c r="P23" s="33"/>
      <c r="Q23" s="31"/>
    </row>
    <row r="24" spans="8:8" ht="35.05">
      <c r="A24" s="30" t="s">
        <v>1123</v>
      </c>
      <c r="B24" s="30" t="s">
        <v>167</v>
      </c>
      <c r="C24" s="30" t="s">
        <v>168</v>
      </c>
      <c r="D24" s="30" t="s">
        <v>169</v>
      </c>
      <c r="E24" s="30" t="s">
        <v>1124</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1125</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35.05">
      <c r="A26" s="30" t="s">
        <v>1126</v>
      </c>
      <c r="B26" s="30" t="s">
        <v>177</v>
      </c>
      <c r="C26" s="30" t="s">
        <v>178</v>
      </c>
      <c r="D26" s="30" t="s">
        <v>1127</v>
      </c>
      <c r="E26" s="30" t="s">
        <v>1128</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1129</v>
      </c>
      <c r="B27" s="30" t="s">
        <v>182</v>
      </c>
      <c r="C27" s="30" t="s">
        <v>183</v>
      </c>
      <c r="D27" s="30" t="s">
        <v>184</v>
      </c>
      <c r="E27" s="30" t="s">
        <v>1130</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35.05">
      <c r="A28" s="30" t="s">
        <v>1131</v>
      </c>
      <c r="B28" s="30" t="s">
        <v>187</v>
      </c>
      <c r="C28" s="30" t="s">
        <v>188</v>
      </c>
      <c r="D28" s="30" t="s">
        <v>189</v>
      </c>
      <c r="E28" s="30" t="s">
        <v>1132</v>
      </c>
      <c r="F28" s="30" t="s">
        <v>191</v>
      </c>
      <c r="G28" s="33" t="s">
        <v>30</v>
      </c>
      <c r="H28" s="44">
        <f>$K$5</f>
        <v>46391.0</v>
      </c>
      <c r="I28" s="44">
        <f>$K$6</f>
        <v>46409.0</v>
      </c>
      <c r="J28" s="33"/>
      <c r="K28" s="33" t="s">
        <v>245</v>
      </c>
      <c r="L28" s="33"/>
      <c r="M28" s="45" t="str">
        <f>IF(L28="Compliant",1,IF(L28="Partially Compliant",0.5,IF(L28="Non-Compliant",0,"")))</f>
        <v/>
      </c>
      <c r="N28" s="33"/>
      <c r="O28" s="33"/>
      <c r="P28" s="33"/>
      <c r="Q28" s="31"/>
    </row>
    <row r="29" spans="8:8" ht="35.05">
      <c r="A29" s="30" t="s">
        <v>1133</v>
      </c>
      <c r="B29" s="30" t="s">
        <v>192</v>
      </c>
      <c r="C29" s="30" t="s">
        <v>193</v>
      </c>
      <c r="D29" s="30" t="s">
        <v>194</v>
      </c>
      <c r="E29" s="30" t="s">
        <v>1134</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1135</v>
      </c>
      <c r="B30" s="30" t="s">
        <v>197</v>
      </c>
      <c r="C30" s="30" t="s">
        <v>198</v>
      </c>
      <c r="D30" s="30" t="s">
        <v>199</v>
      </c>
      <c r="E30" s="30" t="s">
        <v>1136</v>
      </c>
      <c r="F30" s="30" t="s">
        <v>201</v>
      </c>
      <c r="G30" s="33" t="s">
        <v>30</v>
      </c>
      <c r="H30" s="44">
        <f>$K$5</f>
        <v>46391.0</v>
      </c>
      <c r="I30" s="44">
        <f>$K$6</f>
        <v>46409.0</v>
      </c>
      <c r="J30" s="33"/>
      <c r="K30" s="33" t="s">
        <v>245</v>
      </c>
      <c r="L30" s="33"/>
      <c r="M30" s="45" t="str">
        <f>IF(L30="Compliant",1,IF(L30="Partially Compliant",0.5,IF(L30="Non-Compliant",0,"")))</f>
        <v/>
      </c>
      <c r="N30" s="33"/>
      <c r="O30" s="33"/>
      <c r="P30" s="33"/>
      <c r="Q30" s="31"/>
    </row>
    <row r="31" spans="8:8" ht="35.05">
      <c r="A31" s="30" t="s">
        <v>1137</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1138</v>
      </c>
      <c r="B32" s="30" t="s">
        <v>208</v>
      </c>
      <c r="C32" s="30" t="s">
        <v>209</v>
      </c>
      <c r="D32" s="30" t="s">
        <v>210</v>
      </c>
      <c r="E32" s="30" t="s">
        <v>1139</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1140</v>
      </c>
      <c r="B33" s="30" t="s">
        <v>213</v>
      </c>
      <c r="C33" s="30" t="s">
        <v>214</v>
      </c>
      <c r="D33" s="30" t="s">
        <v>215</v>
      </c>
      <c r="E33" s="30" t="s">
        <v>1141</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23.85">
      <c r="A34" s="30" t="s">
        <v>1142</v>
      </c>
      <c r="B34" s="30" t="s">
        <v>218</v>
      </c>
      <c r="C34" s="30" t="s">
        <v>219</v>
      </c>
      <c r="D34" s="30" t="s">
        <v>220</v>
      </c>
      <c r="E34" s="30" t="s">
        <v>1143</v>
      </c>
      <c r="F34" s="30" t="s">
        <v>222</v>
      </c>
      <c r="G34" s="33" t="s">
        <v>30</v>
      </c>
      <c r="H34" s="44">
        <f>$K$5</f>
        <v>46391.0</v>
      </c>
      <c r="I34" s="44">
        <f>$K$6</f>
        <v>46409.0</v>
      </c>
      <c r="J34" s="33"/>
      <c r="K34" s="33" t="s">
        <v>245</v>
      </c>
      <c r="L34" s="33"/>
      <c r="M34" s="45" t="str">
        <f>IF(L34="Compliant",1,IF(L34="Partially Compliant",0.5,IF(L34="Non-Compliant",0,"")))</f>
        <v/>
      </c>
      <c r="N34" s="33"/>
      <c r="O34" s="33"/>
      <c r="P34" s="33"/>
      <c r="Q34" s="31"/>
    </row>
    <row r="35" spans="8:8" ht="35.05">
      <c r="A35" s="30" t="s">
        <v>1144</v>
      </c>
      <c r="B35" s="30" t="s">
        <v>223</v>
      </c>
      <c r="C35" s="30" t="s">
        <v>224</v>
      </c>
      <c r="D35" s="30" t="s">
        <v>225</v>
      </c>
      <c r="E35" s="30" t="s">
        <v>1145</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23.85">
      <c r="A36" s="30" t="s">
        <v>1146</v>
      </c>
      <c r="B36" s="30" t="s">
        <v>228</v>
      </c>
      <c r="C36" s="30" t="s">
        <v>229</v>
      </c>
      <c r="D36" s="30" t="s">
        <v>230</v>
      </c>
      <c r="E36" s="30" t="s">
        <v>1147</v>
      </c>
      <c r="F36" s="30" t="s">
        <v>232</v>
      </c>
      <c r="G36" s="33" t="s">
        <v>30</v>
      </c>
      <c r="H36" s="44">
        <f>$K$5</f>
        <v>46391.0</v>
      </c>
      <c r="I36" s="44">
        <f>$K$6</f>
        <v>46409.0</v>
      </c>
      <c r="J36" s="33"/>
      <c r="K36" s="33" t="s">
        <v>245</v>
      </c>
      <c r="L36" s="33"/>
      <c r="M36" s="45" t="str">
        <f>IF(L36="Compliant",1,IF(L36="Partially Compliant",0.5,IF(L36="Non-Compliant",0,"")))</f>
        <v/>
      </c>
      <c r="N36" s="33"/>
      <c r="O36" s="33"/>
      <c r="P36" s="33"/>
      <c r="Q36" s="31"/>
    </row>
    <row r="37" spans="8:8" ht="23.85">
      <c r="A37" s="30" t="s">
        <v>1148</v>
      </c>
      <c r="B37" s="43" t="s">
        <v>1149</v>
      </c>
      <c r="C37" s="30" t="s">
        <v>979</v>
      </c>
      <c r="D37" s="30" t="s">
        <v>1150</v>
      </c>
      <c r="E37" s="30" t="s">
        <v>1151</v>
      </c>
      <c r="F37" s="30" t="s">
        <v>1152</v>
      </c>
      <c r="G37" s="33" t="s">
        <v>30</v>
      </c>
      <c r="H37" s="44">
        <f>$K$5</f>
        <v>46391.0</v>
      </c>
      <c r="I37" s="44">
        <f>$K$6</f>
        <v>46409.0</v>
      </c>
      <c r="J37" s="33"/>
      <c r="K37" s="33" t="s">
        <v>245</v>
      </c>
      <c r="L37" s="33"/>
      <c r="M37" s="45" t="str">
        <f>IF(L37="Compliant",1,IF(L37="Partially Compliant",0.5,IF(L37="Non-Compliant",0,"")))</f>
        <v/>
      </c>
      <c r="N37" s="33"/>
      <c r="O37" s="33"/>
      <c r="P37" s="33"/>
      <c r="Q37" s="31"/>
    </row>
    <row r="38" spans="8:8" ht="23.85">
      <c r="A38" s="30" t="s">
        <v>1153</v>
      </c>
      <c r="B38" s="43" t="s">
        <v>1154</v>
      </c>
      <c r="C38" s="30" t="s">
        <v>1155</v>
      </c>
      <c r="D38" s="30" t="s">
        <v>1156</v>
      </c>
      <c r="E38" s="30" t="s">
        <v>1157</v>
      </c>
      <c r="F38" s="30" t="s">
        <v>182</v>
      </c>
      <c r="G38" s="33" t="s">
        <v>30</v>
      </c>
      <c r="H38" s="44">
        <f>$K$5</f>
        <v>46391.0</v>
      </c>
      <c r="I38" s="44">
        <f>$K$6</f>
        <v>46409.0</v>
      </c>
      <c r="J38" s="33"/>
      <c r="K38" s="33" t="s">
        <v>245</v>
      </c>
      <c r="L38" s="33"/>
      <c r="M38" s="45" t="str">
        <f>IF(L38="Compliant",1,IF(L38="Partially Compliant",0.5,IF(L38="Non-Compliant",0,"")))</f>
        <v/>
      </c>
      <c r="N38" s="33"/>
      <c r="O38" s="33"/>
      <c r="P38" s="33"/>
      <c r="Q38" s="31"/>
    </row>
    <row r="39" spans="8:8" ht="35.05">
      <c r="A39" s="30" t="s">
        <v>1158</v>
      </c>
      <c r="B39" s="43" t="s">
        <v>1159</v>
      </c>
      <c r="C39" s="30" t="s">
        <v>1160</v>
      </c>
      <c r="D39" s="30" t="s">
        <v>1161</v>
      </c>
      <c r="E39" s="30" t="s">
        <v>1162</v>
      </c>
      <c r="F39" s="30" t="s">
        <v>1163</v>
      </c>
      <c r="G39" s="33" t="s">
        <v>146</v>
      </c>
      <c r="H39" s="44">
        <f>$K$5</f>
        <v>46391.0</v>
      </c>
      <c r="I39" s="44">
        <f>$K$6</f>
        <v>46409.0</v>
      </c>
      <c r="J39" s="33"/>
      <c r="K39" s="33" t="s">
        <v>245</v>
      </c>
      <c r="L39" s="33"/>
      <c r="M39" s="45" t="str">
        <f>IF(L39="Compliant",1,IF(L39="Partially Compliant",0.5,IF(L39="Non-Compliant",0,"")))</f>
        <v/>
      </c>
      <c r="N39" s="33"/>
      <c r="O39" s="33"/>
      <c r="P39" s="33"/>
      <c r="Q39" s="31"/>
    </row>
    <row r="40" spans="8:8" ht="23.85">
      <c r="A40" s="30" t="s">
        <v>1164</v>
      </c>
      <c r="B40" s="43" t="s">
        <v>1165</v>
      </c>
      <c r="C40" s="30" t="s">
        <v>1166</v>
      </c>
      <c r="D40" s="30" t="s">
        <v>1167</v>
      </c>
      <c r="E40" s="30" t="s">
        <v>1168</v>
      </c>
      <c r="F40" s="30" t="s">
        <v>1169</v>
      </c>
      <c r="G40" s="33" t="s">
        <v>146</v>
      </c>
      <c r="H40" s="44">
        <f>$K$5</f>
        <v>46391.0</v>
      </c>
      <c r="I40" s="44">
        <f>$K$6</f>
        <v>46409.0</v>
      </c>
      <c r="J40" s="33"/>
      <c r="K40" s="33" t="s">
        <v>245</v>
      </c>
      <c r="L40" s="33"/>
      <c r="M40" s="45" t="str">
        <f>IF(L40="Compliant",1,IF(L40="Partially Compliant",0.5,IF(L40="Non-Compliant",0,"")))</f>
        <v/>
      </c>
      <c r="N40" s="33"/>
      <c r="O40" s="33"/>
      <c r="P40" s="33"/>
      <c r="Q40" s="31"/>
    </row>
    <row r="42" spans="8:8" ht="15.0">
      <c r="A42" s="27" t="s">
        <v>439</v>
      </c>
    </row>
  </sheetData>
  <autoFilter ref="A14:Q40">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G15:G40">
    <cfRule type="cellIs" operator="equal" priority="5" dxfId="51">
      <formula>"High"</formula>
    </cfRule>
  </conditionalFormatting>
  <conditionalFormatting sqref="L15:L40">
    <cfRule type="cellIs" operator="equal" priority="2" dxfId="52">
      <formula>"Compliant"</formula>
    </cfRule>
    <cfRule type="cellIs" operator="equal" priority="3" dxfId="53">
      <formula>"Partially Compliant"</formula>
    </cfRule>
    <cfRule type="cellIs" operator="equal" priority="4" dxfId="54">
      <formula>"Non-Compliant"</formula>
    </cfRule>
  </conditionalFormatting>
  <dataValidations count="4">
    <dataValidation allowBlank="1" type="list" errorStyle="stop" sqref="G15:G40">
      <formula1>"High,Medium,Low"</formula1>
      <formula2>0</formula2>
    </dataValidation>
    <dataValidation allowBlank="1" type="list" errorStyle="stop" sqref="K15:K40">
      <formula1>"Not Started,In Progress,Fieldwork Done,Reported,Completed"</formula1>
      <formula2>0</formula2>
    </dataValidation>
    <dataValidation allowBlank="1" type="list" errorStyle="stop" sqref="L15:L40">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8.xml><?xml version="1.0" encoding="utf-8"?>
<worksheet xmlns:r="http://schemas.openxmlformats.org/officeDocument/2006/relationships" xmlns="http://schemas.openxmlformats.org/spreadsheetml/2006/main">
  <sheetPr>
    <tabColor rgb="FF548235"/>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1170</v>
      </c>
      <c r="N1" s="34" t="s">
        <v>277</v>
      </c>
    </row>
    <row r="2" spans="8:8" ht="15.0">
      <c r="A2" s="12" t="s">
        <v>278</v>
      </c>
    </row>
    <row r="4" spans="8:8" ht="15.75" customHeight="1">
      <c r="A4" s="35" t="s">
        <v>59</v>
      </c>
      <c r="B4" s="35"/>
      <c r="C4" s="36" t="s">
        <v>87</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85</v>
      </c>
      <c r="D6" s="36"/>
      <c r="E6" s="36"/>
      <c r="F6" s="36"/>
      <c r="H6" s="35" t="s">
        <v>283</v>
      </c>
      <c r="I6" s="35"/>
      <c r="J6" s="35"/>
      <c r="K6" s="38">
        <v>46409.0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1171</v>
      </c>
      <c r="D8" s="36"/>
      <c r="E8" s="36"/>
      <c r="F8" s="36"/>
      <c r="H8" s="35" t="s">
        <v>34</v>
      </c>
      <c r="I8" s="35"/>
      <c r="J8" s="35"/>
      <c r="K8" s="40">
        <f>COUNTIF(K15:K38,"Completed")</f>
        <v>0.0</v>
      </c>
    </row>
    <row r="9" spans="8:8" ht="15.75" customHeight="1">
      <c r="A9" s="35" t="s">
        <v>287</v>
      </c>
      <c r="B9" s="35"/>
      <c r="C9" s="36" t="s">
        <v>1172</v>
      </c>
      <c r="D9" s="36"/>
      <c r="E9" s="36"/>
      <c r="F9" s="36"/>
      <c r="H9" s="35" t="s">
        <v>64</v>
      </c>
      <c r="I9" s="35"/>
      <c r="J9" s="35"/>
      <c r="K9" s="40">
        <f>COUNTIF(L15:L38,"Compliant")</f>
        <v>0.0</v>
      </c>
    </row>
    <row r="10" spans="8:8" ht="15.75" customHeight="1">
      <c r="A10" s="35" t="s">
        <v>289</v>
      </c>
      <c r="B10" s="35"/>
      <c r="C10" s="36" t="s">
        <v>1173</v>
      </c>
      <c r="D10" s="36"/>
      <c r="E10" s="36"/>
      <c r="F10" s="36"/>
      <c r="H10" s="35" t="s">
        <v>36</v>
      </c>
      <c r="I10" s="35"/>
      <c r="J10" s="35"/>
      <c r="K10" s="40">
        <f>COUNTIF(L15:L38,"Partially Compliant")</f>
        <v>0.0</v>
      </c>
    </row>
    <row r="11" spans="8:8" ht="15.75" customHeight="1">
      <c r="A11" s="35" t="s">
        <v>291</v>
      </c>
      <c r="B11" s="35"/>
      <c r="C11" s="39" t="s">
        <v>30</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1174</v>
      </c>
      <c r="B15" s="30" t="s">
        <v>122</v>
      </c>
      <c r="C15" s="30" t="s">
        <v>123</v>
      </c>
      <c r="D15" s="30" t="s">
        <v>124</v>
      </c>
      <c r="E15" s="30" t="s">
        <v>1175</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1176</v>
      </c>
      <c r="B16" s="30" t="s">
        <v>127</v>
      </c>
      <c r="C16" s="30" t="s">
        <v>128</v>
      </c>
      <c r="D16" s="30" t="s">
        <v>129</v>
      </c>
      <c r="E16" s="30" t="s">
        <v>1177</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1178</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1179</v>
      </c>
      <c r="B18" s="30" t="s">
        <v>28</v>
      </c>
      <c r="C18" s="30" t="s">
        <v>137</v>
      </c>
      <c r="D18" s="30" t="s">
        <v>138</v>
      </c>
      <c r="E18" s="30" t="s">
        <v>1180</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1181</v>
      </c>
      <c r="B19" s="30" t="s">
        <v>141</v>
      </c>
      <c r="C19" s="30" t="s">
        <v>142</v>
      </c>
      <c r="D19" s="30" t="s">
        <v>143</v>
      </c>
      <c r="E19" s="30" t="s">
        <v>1182</v>
      </c>
      <c r="F19" s="30" t="s">
        <v>145</v>
      </c>
      <c r="G19" s="33" t="s">
        <v>30</v>
      </c>
      <c r="H19" s="44">
        <f>$K$5</f>
        <v>46391.0</v>
      </c>
      <c r="I19" s="44">
        <f>$K$6</f>
        <v>46409.0</v>
      </c>
      <c r="J19" s="33"/>
      <c r="K19" s="33" t="s">
        <v>245</v>
      </c>
      <c r="L19" s="33"/>
      <c r="M19" s="45" t="str">
        <f>IF(L19="Compliant",1,IF(L19="Partially Compliant",0.5,IF(L19="Non-Compliant",0,"")))</f>
        <v/>
      </c>
      <c r="N19" s="33"/>
      <c r="O19" s="33"/>
      <c r="P19" s="33"/>
      <c r="Q19" s="31"/>
    </row>
    <row r="20" spans="8:8" ht="46.25">
      <c r="A20" s="30" t="s">
        <v>1183</v>
      </c>
      <c r="B20" s="30" t="s">
        <v>147</v>
      </c>
      <c r="C20" s="30" t="s">
        <v>148</v>
      </c>
      <c r="D20" s="30" t="s">
        <v>149</v>
      </c>
      <c r="E20" s="30" t="s">
        <v>1184</v>
      </c>
      <c r="F20" s="30" t="s">
        <v>151</v>
      </c>
      <c r="G20" s="33" t="s">
        <v>30</v>
      </c>
      <c r="H20" s="44">
        <f>$K$5</f>
        <v>46391.0</v>
      </c>
      <c r="I20" s="44">
        <f>$K$6</f>
        <v>46409.0</v>
      </c>
      <c r="J20" s="33"/>
      <c r="K20" s="33" t="s">
        <v>245</v>
      </c>
      <c r="L20" s="33"/>
      <c r="M20" s="45" t="str">
        <f>IF(L20="Compliant",1,IF(L20="Partially Compliant",0.5,IF(L20="Non-Compliant",0,"")))</f>
        <v/>
      </c>
      <c r="N20" s="33"/>
      <c r="O20" s="33"/>
      <c r="P20" s="33"/>
      <c r="Q20" s="31"/>
    </row>
    <row r="21" spans="8:8" ht="35.05">
      <c r="A21" s="30" t="s">
        <v>1185</v>
      </c>
      <c r="B21" s="30" t="s">
        <v>152</v>
      </c>
      <c r="C21" s="30" t="s">
        <v>153</v>
      </c>
      <c r="D21" s="30" t="s">
        <v>154</v>
      </c>
      <c r="E21" s="30" t="s">
        <v>155</v>
      </c>
      <c r="F21" s="30" t="s">
        <v>156</v>
      </c>
      <c r="G21" s="33" t="s">
        <v>30</v>
      </c>
      <c r="H21" s="44">
        <f>$K$5</f>
        <v>46391.0</v>
      </c>
      <c r="I21" s="44">
        <f>$K$6</f>
        <v>46409.0</v>
      </c>
      <c r="J21" s="33"/>
      <c r="K21" s="33" t="s">
        <v>245</v>
      </c>
      <c r="L21" s="33"/>
      <c r="M21" s="45" t="str">
        <f>IF(L21="Compliant",1,IF(L21="Partially Compliant",0.5,IF(L21="Non-Compliant",0,"")))</f>
        <v/>
      </c>
      <c r="N21" s="33"/>
      <c r="O21" s="33"/>
      <c r="P21" s="33"/>
      <c r="Q21" s="31"/>
    </row>
    <row r="22" spans="8:8" ht="35.05">
      <c r="A22" s="30" t="s">
        <v>1186</v>
      </c>
      <c r="B22" s="30" t="s">
        <v>157</v>
      </c>
      <c r="C22" s="30" t="s">
        <v>158</v>
      </c>
      <c r="D22" s="30" t="s">
        <v>159</v>
      </c>
      <c r="E22" s="30" t="s">
        <v>160</v>
      </c>
      <c r="F22" s="30" t="s">
        <v>161</v>
      </c>
      <c r="G22" s="33" t="s">
        <v>30</v>
      </c>
      <c r="H22" s="44">
        <f>$K$5</f>
        <v>46391.0</v>
      </c>
      <c r="I22" s="44">
        <f>$K$6</f>
        <v>46409.0</v>
      </c>
      <c r="J22" s="33"/>
      <c r="K22" s="33" t="s">
        <v>245</v>
      </c>
      <c r="L22" s="33"/>
      <c r="M22" s="45" t="str">
        <f>IF(L22="Compliant",1,IF(L22="Partially Compliant",0.5,IF(L22="Non-Compliant",0,"")))</f>
        <v/>
      </c>
      <c r="N22" s="33"/>
      <c r="O22" s="33"/>
      <c r="P22" s="33"/>
      <c r="Q22" s="31"/>
    </row>
    <row r="23" spans="8:8" ht="35.05">
      <c r="A23" s="30" t="s">
        <v>1187</v>
      </c>
      <c r="B23" s="30" t="s">
        <v>162</v>
      </c>
      <c r="C23" s="30" t="s">
        <v>163</v>
      </c>
      <c r="D23" s="30" t="s">
        <v>164</v>
      </c>
      <c r="E23" s="30" t="s">
        <v>1188</v>
      </c>
      <c r="F23" s="30" t="s">
        <v>166</v>
      </c>
      <c r="G23" s="33" t="s">
        <v>30</v>
      </c>
      <c r="H23" s="44">
        <f>$K$5</f>
        <v>46391.0</v>
      </c>
      <c r="I23" s="44">
        <f>$K$6</f>
        <v>46409.0</v>
      </c>
      <c r="J23" s="33"/>
      <c r="K23" s="33" t="s">
        <v>245</v>
      </c>
      <c r="L23" s="33"/>
      <c r="M23" s="45" t="str">
        <f>IF(L23="Compliant",1,IF(L23="Partially Compliant",0.5,IF(L23="Non-Compliant",0,"")))</f>
        <v/>
      </c>
      <c r="N23" s="33"/>
      <c r="O23" s="33"/>
      <c r="P23" s="33"/>
      <c r="Q23" s="31"/>
    </row>
    <row r="24" spans="8:8" ht="35.05">
      <c r="A24" s="30" t="s">
        <v>1189</v>
      </c>
      <c r="B24" s="30" t="s">
        <v>167</v>
      </c>
      <c r="C24" s="30" t="s">
        <v>168</v>
      </c>
      <c r="D24" s="30" t="s">
        <v>169</v>
      </c>
      <c r="E24" s="30" t="s">
        <v>1190</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1191</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35.05">
      <c r="A26" s="30" t="s">
        <v>1192</v>
      </c>
      <c r="B26" s="30" t="s">
        <v>177</v>
      </c>
      <c r="C26" s="30" t="s">
        <v>178</v>
      </c>
      <c r="D26" s="30" t="s">
        <v>1193</v>
      </c>
      <c r="E26" s="30" t="s">
        <v>1194</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1195</v>
      </c>
      <c r="B27" s="30" t="s">
        <v>182</v>
      </c>
      <c r="C27" s="30" t="s">
        <v>183</v>
      </c>
      <c r="D27" s="30" t="s">
        <v>184</v>
      </c>
      <c r="E27" s="30" t="s">
        <v>1196</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35.05">
      <c r="A28" s="30" t="s">
        <v>1197</v>
      </c>
      <c r="B28" s="30" t="s">
        <v>187</v>
      </c>
      <c r="C28" s="30" t="s">
        <v>188</v>
      </c>
      <c r="D28" s="30" t="s">
        <v>189</v>
      </c>
      <c r="E28" s="30" t="s">
        <v>1198</v>
      </c>
      <c r="F28" s="30" t="s">
        <v>191</v>
      </c>
      <c r="G28" s="33" t="s">
        <v>30</v>
      </c>
      <c r="H28" s="44">
        <f>$K$5</f>
        <v>46391.0</v>
      </c>
      <c r="I28" s="44">
        <f>$K$6</f>
        <v>46409.0</v>
      </c>
      <c r="J28" s="33"/>
      <c r="K28" s="33" t="s">
        <v>245</v>
      </c>
      <c r="L28" s="33"/>
      <c r="M28" s="45" t="str">
        <f>IF(L28="Compliant",1,IF(L28="Partially Compliant",0.5,IF(L28="Non-Compliant",0,"")))</f>
        <v/>
      </c>
      <c r="N28" s="33"/>
      <c r="O28" s="33"/>
      <c r="P28" s="33"/>
      <c r="Q28" s="31"/>
    </row>
    <row r="29" spans="8:8" ht="35.05">
      <c r="A29" s="30" t="s">
        <v>1199</v>
      </c>
      <c r="B29" s="30" t="s">
        <v>192</v>
      </c>
      <c r="C29" s="30" t="s">
        <v>193</v>
      </c>
      <c r="D29" s="30" t="s">
        <v>194</v>
      </c>
      <c r="E29" s="30" t="s">
        <v>1200</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1201</v>
      </c>
      <c r="B30" s="30" t="s">
        <v>197</v>
      </c>
      <c r="C30" s="30" t="s">
        <v>198</v>
      </c>
      <c r="D30" s="30" t="s">
        <v>199</v>
      </c>
      <c r="E30" s="30" t="s">
        <v>1202</v>
      </c>
      <c r="F30" s="30" t="s">
        <v>201</v>
      </c>
      <c r="G30" s="33" t="s">
        <v>30</v>
      </c>
      <c r="H30" s="44">
        <f>$K$5</f>
        <v>46391.0</v>
      </c>
      <c r="I30" s="44">
        <f>$K$6</f>
        <v>46409.0</v>
      </c>
      <c r="J30" s="33"/>
      <c r="K30" s="33" t="s">
        <v>245</v>
      </c>
      <c r="L30" s="33"/>
      <c r="M30" s="45" t="str">
        <f>IF(L30="Compliant",1,IF(L30="Partially Compliant",0.5,IF(L30="Non-Compliant",0,"")))</f>
        <v/>
      </c>
      <c r="N30" s="33"/>
      <c r="O30" s="33"/>
      <c r="P30" s="33"/>
      <c r="Q30" s="31"/>
    </row>
    <row r="31" spans="8:8" ht="35.05">
      <c r="A31" s="30" t="s">
        <v>1203</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1204</v>
      </c>
      <c r="B32" s="30" t="s">
        <v>208</v>
      </c>
      <c r="C32" s="30" t="s">
        <v>209</v>
      </c>
      <c r="D32" s="30" t="s">
        <v>210</v>
      </c>
      <c r="E32" s="30" t="s">
        <v>1205</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1206</v>
      </c>
      <c r="B33" s="30" t="s">
        <v>213</v>
      </c>
      <c r="C33" s="30" t="s">
        <v>214</v>
      </c>
      <c r="D33" s="30" t="s">
        <v>215</v>
      </c>
      <c r="E33" s="30" t="s">
        <v>1207</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23.85">
      <c r="A34" s="30" t="s">
        <v>1208</v>
      </c>
      <c r="B34" s="30" t="s">
        <v>218</v>
      </c>
      <c r="C34" s="30" t="s">
        <v>219</v>
      </c>
      <c r="D34" s="30" t="s">
        <v>220</v>
      </c>
      <c r="E34" s="30" t="s">
        <v>1209</v>
      </c>
      <c r="F34" s="30" t="s">
        <v>222</v>
      </c>
      <c r="G34" s="33" t="s">
        <v>30</v>
      </c>
      <c r="H34" s="44">
        <f>$K$5</f>
        <v>46391.0</v>
      </c>
      <c r="I34" s="44">
        <f>$K$6</f>
        <v>46409.0</v>
      </c>
      <c r="J34" s="33"/>
      <c r="K34" s="33" t="s">
        <v>245</v>
      </c>
      <c r="L34" s="33"/>
      <c r="M34" s="45" t="str">
        <f>IF(L34="Compliant",1,IF(L34="Partially Compliant",0.5,IF(L34="Non-Compliant",0,"")))</f>
        <v/>
      </c>
      <c r="N34" s="33"/>
      <c r="O34" s="33"/>
      <c r="P34" s="33"/>
      <c r="Q34" s="31"/>
    </row>
    <row r="35" spans="8:8" ht="35.05">
      <c r="A35" s="30" t="s">
        <v>1210</v>
      </c>
      <c r="B35" s="30" t="s">
        <v>223</v>
      </c>
      <c r="C35" s="30" t="s">
        <v>224</v>
      </c>
      <c r="D35" s="30" t="s">
        <v>225</v>
      </c>
      <c r="E35" s="30" t="s">
        <v>1211</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23.85">
      <c r="A36" s="30" t="s">
        <v>1212</v>
      </c>
      <c r="B36" s="30" t="s">
        <v>228</v>
      </c>
      <c r="C36" s="30" t="s">
        <v>229</v>
      </c>
      <c r="D36" s="30" t="s">
        <v>230</v>
      </c>
      <c r="E36" s="30" t="s">
        <v>1213</v>
      </c>
      <c r="F36" s="30" t="s">
        <v>232</v>
      </c>
      <c r="G36" s="33" t="s">
        <v>30</v>
      </c>
      <c r="H36" s="44">
        <f>$K$5</f>
        <v>46391.0</v>
      </c>
      <c r="I36" s="44">
        <f>$K$6</f>
        <v>46409.0</v>
      </c>
      <c r="J36" s="33"/>
      <c r="K36" s="33" t="s">
        <v>245</v>
      </c>
      <c r="L36" s="33"/>
      <c r="M36" s="45" t="str">
        <f>IF(L36="Compliant",1,IF(L36="Partially Compliant",0.5,IF(L36="Non-Compliant",0,"")))</f>
        <v/>
      </c>
      <c r="N36" s="33"/>
      <c r="O36" s="33"/>
      <c r="P36" s="33"/>
      <c r="Q36" s="31"/>
    </row>
    <row r="37" spans="8:8" ht="35.05">
      <c r="A37" s="30" t="s">
        <v>1214</v>
      </c>
      <c r="B37" s="43" t="s">
        <v>1215</v>
      </c>
      <c r="C37" s="30" t="s">
        <v>1216</v>
      </c>
      <c r="D37" s="30" t="s">
        <v>1217</v>
      </c>
      <c r="E37" s="30" t="s">
        <v>1218</v>
      </c>
      <c r="F37" s="30" t="s">
        <v>1219</v>
      </c>
      <c r="G37" s="33" t="s">
        <v>30</v>
      </c>
      <c r="H37" s="44">
        <f>$K$5</f>
        <v>46391.0</v>
      </c>
      <c r="I37" s="44">
        <f>$K$6</f>
        <v>46409.0</v>
      </c>
      <c r="J37" s="33"/>
      <c r="K37" s="33" t="s">
        <v>245</v>
      </c>
      <c r="L37" s="33"/>
      <c r="M37" s="45" t="str">
        <f>IF(L37="Compliant",1,IF(L37="Partially Compliant",0.5,IF(L37="Non-Compliant",0,"")))</f>
        <v/>
      </c>
      <c r="N37" s="33"/>
      <c r="O37" s="33"/>
      <c r="P37" s="33"/>
      <c r="Q37" s="31"/>
    </row>
    <row r="38" spans="8:8" ht="23.85">
      <c r="A38" s="30" t="s">
        <v>1220</v>
      </c>
      <c r="B38" s="43" t="s">
        <v>1221</v>
      </c>
      <c r="C38" s="30" t="s">
        <v>158</v>
      </c>
      <c r="D38" s="30" t="s">
        <v>1222</v>
      </c>
      <c r="E38" s="30" t="s">
        <v>1223</v>
      </c>
      <c r="F38" s="30" t="s">
        <v>1224</v>
      </c>
      <c r="G38" s="33" t="s">
        <v>30</v>
      </c>
      <c r="H38" s="44">
        <f>$K$5</f>
        <v>46391.0</v>
      </c>
      <c r="I38" s="44">
        <f>$K$6</f>
        <v>46409.0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55">
      <formula>"Partially Compliant"</formula>
    </cfRule>
    <cfRule type="cellIs" operator="equal" priority="4" dxfId="56">
      <formula>"Non-Compliant"</formula>
    </cfRule>
    <cfRule type="cellIs" operator="equal" priority="2" dxfId="57">
      <formula>"Compliant"</formula>
    </cfRule>
  </conditionalFormatting>
  <conditionalFormatting sqref="G15:G38">
    <cfRule type="cellIs" operator="equal" priority="5" dxfId="58">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19.xml><?xml version="1.0" encoding="utf-8"?>
<worksheet xmlns:r="http://schemas.openxmlformats.org/officeDocument/2006/relationships" xmlns="http://schemas.openxmlformats.org/spreadsheetml/2006/main">
  <sheetPr>
    <tabColor rgb="FF548235"/>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1225</v>
      </c>
      <c r="N1" s="34" t="s">
        <v>277</v>
      </c>
    </row>
    <row r="2" spans="8:8" ht="15.0">
      <c r="A2" s="12" t="s">
        <v>278</v>
      </c>
    </row>
    <row r="4" spans="8:8" ht="15.75" customHeight="1">
      <c r="A4" s="35" t="s">
        <v>59</v>
      </c>
      <c r="B4" s="35"/>
      <c r="C4" s="36" t="s">
        <v>88</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85</v>
      </c>
      <c r="D6" s="36"/>
      <c r="E6" s="36"/>
      <c r="F6" s="36"/>
      <c r="H6" s="35" t="s">
        <v>283</v>
      </c>
      <c r="I6" s="35"/>
      <c r="J6" s="35"/>
      <c r="K6" s="38">
        <v>46409.0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1226</v>
      </c>
      <c r="D8" s="36"/>
      <c r="E8" s="36"/>
      <c r="F8" s="36"/>
      <c r="H8" s="35" t="s">
        <v>34</v>
      </c>
      <c r="I8" s="35"/>
      <c r="J8" s="35"/>
      <c r="K8" s="40">
        <f>COUNTIF(K15:K37,"Completed")</f>
        <v>0.0</v>
      </c>
    </row>
    <row r="9" spans="8:8" ht="15.75" customHeight="1">
      <c r="A9" s="35" t="s">
        <v>287</v>
      </c>
      <c r="B9" s="35"/>
      <c r="C9" s="36" t="s">
        <v>1227</v>
      </c>
      <c r="D9" s="36"/>
      <c r="E9" s="36"/>
      <c r="F9" s="36"/>
      <c r="H9" s="35" t="s">
        <v>64</v>
      </c>
      <c r="I9" s="35"/>
      <c r="J9" s="35"/>
      <c r="K9" s="40">
        <f>COUNTIF(L15:L37,"Compliant")</f>
        <v>0.0</v>
      </c>
    </row>
    <row r="10" spans="8:8" ht="15.75" customHeight="1">
      <c r="A10" s="35" t="s">
        <v>289</v>
      </c>
      <c r="B10" s="35"/>
      <c r="C10" s="36" t="s">
        <v>1228</v>
      </c>
      <c r="D10" s="36"/>
      <c r="E10" s="36"/>
      <c r="F10" s="36"/>
      <c r="H10" s="35" t="s">
        <v>36</v>
      </c>
      <c r="I10" s="35"/>
      <c r="J10" s="35"/>
      <c r="K10" s="40">
        <f>COUNTIF(L15:L37,"Partially Compliant")</f>
        <v>0.0</v>
      </c>
    </row>
    <row r="11" spans="8:8" ht="15.75" customHeight="1">
      <c r="A11" s="35" t="s">
        <v>291</v>
      </c>
      <c r="B11" s="35"/>
      <c r="C11" s="39" t="s">
        <v>146</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1229</v>
      </c>
      <c r="B15" s="30" t="s">
        <v>122</v>
      </c>
      <c r="C15" s="30" t="s">
        <v>123</v>
      </c>
      <c r="D15" s="30" t="s">
        <v>124</v>
      </c>
      <c r="E15" s="30" t="s">
        <v>1230</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1231</v>
      </c>
      <c r="B16" s="30" t="s">
        <v>127</v>
      </c>
      <c r="C16" s="30" t="s">
        <v>128</v>
      </c>
      <c r="D16" s="30" t="s">
        <v>129</v>
      </c>
      <c r="E16" s="30" t="s">
        <v>1232</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1233</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1234</v>
      </c>
      <c r="B18" s="30" t="s">
        <v>28</v>
      </c>
      <c r="C18" s="30" t="s">
        <v>137</v>
      </c>
      <c r="D18" s="30" t="s">
        <v>138</v>
      </c>
      <c r="E18" s="30" t="s">
        <v>1235</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1236</v>
      </c>
      <c r="B19" s="30" t="s">
        <v>141</v>
      </c>
      <c r="C19" s="30" t="s">
        <v>142</v>
      </c>
      <c r="D19" s="30" t="s">
        <v>143</v>
      </c>
      <c r="E19" s="30" t="s">
        <v>1237</v>
      </c>
      <c r="F19" s="30" t="s">
        <v>145</v>
      </c>
      <c r="G19" s="33" t="s">
        <v>146</v>
      </c>
      <c r="H19" s="44">
        <f>$K$5</f>
        <v>46391.0</v>
      </c>
      <c r="I19" s="44">
        <f>$K$6</f>
        <v>46409.0</v>
      </c>
      <c r="J19" s="33"/>
      <c r="K19" s="33" t="s">
        <v>245</v>
      </c>
      <c r="L19" s="33"/>
      <c r="M19" s="45" t="str">
        <f>IF(L19="Compliant",1,IF(L19="Partially Compliant",0.5,IF(L19="Non-Compliant",0,"")))</f>
        <v/>
      </c>
      <c r="N19" s="33"/>
      <c r="O19" s="33"/>
      <c r="P19" s="33"/>
      <c r="Q19" s="31"/>
    </row>
    <row r="20" spans="8:8" ht="46.25">
      <c r="A20" s="30" t="s">
        <v>1238</v>
      </c>
      <c r="B20" s="30" t="s">
        <v>147</v>
      </c>
      <c r="C20" s="30" t="s">
        <v>148</v>
      </c>
      <c r="D20" s="30" t="s">
        <v>149</v>
      </c>
      <c r="E20" s="30" t="s">
        <v>1239</v>
      </c>
      <c r="F20" s="30" t="s">
        <v>151</v>
      </c>
      <c r="G20" s="33" t="s">
        <v>146</v>
      </c>
      <c r="H20" s="44">
        <f>$K$5</f>
        <v>46391.0</v>
      </c>
      <c r="I20" s="44">
        <f>$K$6</f>
        <v>46409.0</v>
      </c>
      <c r="J20" s="33"/>
      <c r="K20" s="33" t="s">
        <v>245</v>
      </c>
      <c r="L20" s="33"/>
      <c r="M20" s="45" t="str">
        <f>IF(L20="Compliant",1,IF(L20="Partially Compliant",0.5,IF(L20="Non-Compliant",0,"")))</f>
        <v/>
      </c>
      <c r="N20" s="33"/>
      <c r="O20" s="33"/>
      <c r="P20" s="33"/>
      <c r="Q20" s="31"/>
    </row>
    <row r="21" spans="8:8" ht="35.05">
      <c r="A21" s="30" t="s">
        <v>1240</v>
      </c>
      <c r="B21" s="30" t="s">
        <v>152</v>
      </c>
      <c r="C21" s="30" t="s">
        <v>153</v>
      </c>
      <c r="D21" s="30" t="s">
        <v>154</v>
      </c>
      <c r="E21" s="30" t="s">
        <v>155</v>
      </c>
      <c r="F21" s="30" t="s">
        <v>156</v>
      </c>
      <c r="G21" s="33" t="s">
        <v>146</v>
      </c>
      <c r="H21" s="44">
        <f>$K$5</f>
        <v>46391.0</v>
      </c>
      <c r="I21" s="44">
        <f>$K$6</f>
        <v>46409.0</v>
      </c>
      <c r="J21" s="33"/>
      <c r="K21" s="33" t="s">
        <v>245</v>
      </c>
      <c r="L21" s="33"/>
      <c r="M21" s="45" t="str">
        <f>IF(L21="Compliant",1,IF(L21="Partially Compliant",0.5,IF(L21="Non-Compliant",0,"")))</f>
        <v/>
      </c>
      <c r="N21" s="33"/>
      <c r="O21" s="33"/>
      <c r="P21" s="33"/>
      <c r="Q21" s="31"/>
    </row>
    <row r="22" spans="8:8" ht="35.05">
      <c r="A22" s="30" t="s">
        <v>1241</v>
      </c>
      <c r="B22" s="30" t="s">
        <v>157</v>
      </c>
      <c r="C22" s="30" t="s">
        <v>158</v>
      </c>
      <c r="D22" s="30" t="s">
        <v>159</v>
      </c>
      <c r="E22" s="30" t="s">
        <v>160</v>
      </c>
      <c r="F22" s="30" t="s">
        <v>161</v>
      </c>
      <c r="G22" s="33" t="s">
        <v>146</v>
      </c>
      <c r="H22" s="44">
        <f>$K$5</f>
        <v>46391.0</v>
      </c>
      <c r="I22" s="44">
        <f>$K$6</f>
        <v>46409.0</v>
      </c>
      <c r="J22" s="33"/>
      <c r="K22" s="33" t="s">
        <v>245</v>
      </c>
      <c r="L22" s="33"/>
      <c r="M22" s="45" t="str">
        <f>IF(L22="Compliant",1,IF(L22="Partially Compliant",0.5,IF(L22="Non-Compliant",0,"")))</f>
        <v/>
      </c>
      <c r="N22" s="33"/>
      <c r="O22" s="33"/>
      <c r="P22" s="33"/>
      <c r="Q22" s="31"/>
    </row>
    <row r="23" spans="8:8" ht="35.05">
      <c r="A23" s="30" t="s">
        <v>1242</v>
      </c>
      <c r="B23" s="30" t="s">
        <v>162</v>
      </c>
      <c r="C23" s="30" t="s">
        <v>163</v>
      </c>
      <c r="D23" s="30" t="s">
        <v>164</v>
      </c>
      <c r="E23" s="30" t="s">
        <v>1243</v>
      </c>
      <c r="F23" s="30" t="s">
        <v>166</v>
      </c>
      <c r="G23" s="33" t="s">
        <v>146</v>
      </c>
      <c r="H23" s="44">
        <f>$K$5</f>
        <v>46391.0</v>
      </c>
      <c r="I23" s="44">
        <f>$K$6</f>
        <v>46409.0</v>
      </c>
      <c r="J23" s="33"/>
      <c r="K23" s="33" t="s">
        <v>245</v>
      </c>
      <c r="L23" s="33"/>
      <c r="M23" s="45" t="str">
        <f>IF(L23="Compliant",1,IF(L23="Partially Compliant",0.5,IF(L23="Non-Compliant",0,"")))</f>
        <v/>
      </c>
      <c r="N23" s="33"/>
      <c r="O23" s="33"/>
      <c r="P23" s="33"/>
      <c r="Q23" s="31"/>
    </row>
    <row r="24" spans="8:8" ht="35.05">
      <c r="A24" s="30" t="s">
        <v>1244</v>
      </c>
      <c r="B24" s="30" t="s">
        <v>167</v>
      </c>
      <c r="C24" s="30" t="s">
        <v>168</v>
      </c>
      <c r="D24" s="30" t="s">
        <v>169</v>
      </c>
      <c r="E24" s="30" t="s">
        <v>1245</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1246</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35.05">
      <c r="A26" s="30" t="s">
        <v>1247</v>
      </c>
      <c r="B26" s="30" t="s">
        <v>177</v>
      </c>
      <c r="C26" s="30" t="s">
        <v>178</v>
      </c>
      <c r="D26" s="30" t="s">
        <v>1248</v>
      </c>
      <c r="E26" s="30" t="s">
        <v>1249</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1250</v>
      </c>
      <c r="B27" s="30" t="s">
        <v>182</v>
      </c>
      <c r="C27" s="30" t="s">
        <v>183</v>
      </c>
      <c r="D27" s="30" t="s">
        <v>184</v>
      </c>
      <c r="E27" s="30" t="s">
        <v>1251</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35.05">
      <c r="A28" s="30" t="s">
        <v>1252</v>
      </c>
      <c r="B28" s="30" t="s">
        <v>187</v>
      </c>
      <c r="C28" s="30" t="s">
        <v>188</v>
      </c>
      <c r="D28" s="30" t="s">
        <v>189</v>
      </c>
      <c r="E28" s="30" t="s">
        <v>1253</v>
      </c>
      <c r="F28" s="30" t="s">
        <v>191</v>
      </c>
      <c r="G28" s="33" t="s">
        <v>146</v>
      </c>
      <c r="H28" s="44">
        <f>$K$5</f>
        <v>46391.0</v>
      </c>
      <c r="I28" s="44">
        <f>$K$6</f>
        <v>46409.0</v>
      </c>
      <c r="J28" s="33"/>
      <c r="K28" s="33" t="s">
        <v>245</v>
      </c>
      <c r="L28" s="33"/>
      <c r="M28" s="45" t="str">
        <f>IF(L28="Compliant",1,IF(L28="Partially Compliant",0.5,IF(L28="Non-Compliant",0,"")))</f>
        <v/>
      </c>
      <c r="N28" s="33"/>
      <c r="O28" s="33"/>
      <c r="P28" s="33"/>
      <c r="Q28" s="31"/>
    </row>
    <row r="29" spans="8:8" ht="35.05">
      <c r="A29" s="30" t="s">
        <v>1254</v>
      </c>
      <c r="B29" s="30" t="s">
        <v>192</v>
      </c>
      <c r="C29" s="30" t="s">
        <v>193</v>
      </c>
      <c r="D29" s="30" t="s">
        <v>194</v>
      </c>
      <c r="E29" s="30" t="s">
        <v>1255</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1256</v>
      </c>
      <c r="B30" s="30" t="s">
        <v>197</v>
      </c>
      <c r="C30" s="30" t="s">
        <v>198</v>
      </c>
      <c r="D30" s="30" t="s">
        <v>199</v>
      </c>
      <c r="E30" s="30" t="s">
        <v>1257</v>
      </c>
      <c r="F30" s="30" t="s">
        <v>201</v>
      </c>
      <c r="G30" s="33" t="s">
        <v>146</v>
      </c>
      <c r="H30" s="44">
        <f>$K$5</f>
        <v>46391.0</v>
      </c>
      <c r="I30" s="44">
        <f>$K$6</f>
        <v>46409.0</v>
      </c>
      <c r="J30" s="33"/>
      <c r="K30" s="33" t="s">
        <v>245</v>
      </c>
      <c r="L30" s="33"/>
      <c r="M30" s="45" t="str">
        <f>IF(L30="Compliant",1,IF(L30="Partially Compliant",0.5,IF(L30="Non-Compliant",0,"")))</f>
        <v/>
      </c>
      <c r="N30" s="33"/>
      <c r="O30" s="33"/>
      <c r="P30" s="33"/>
      <c r="Q30" s="31"/>
    </row>
    <row r="31" spans="8:8" ht="35.05">
      <c r="A31" s="30" t="s">
        <v>1258</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1259</v>
      </c>
      <c r="B32" s="30" t="s">
        <v>208</v>
      </c>
      <c r="C32" s="30" t="s">
        <v>209</v>
      </c>
      <c r="D32" s="30" t="s">
        <v>210</v>
      </c>
      <c r="E32" s="30" t="s">
        <v>1260</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1261</v>
      </c>
      <c r="B33" s="30" t="s">
        <v>213</v>
      </c>
      <c r="C33" s="30" t="s">
        <v>214</v>
      </c>
      <c r="D33" s="30" t="s">
        <v>215</v>
      </c>
      <c r="E33" s="30" t="s">
        <v>1262</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23.85">
      <c r="A34" s="30" t="s">
        <v>1263</v>
      </c>
      <c r="B34" s="30" t="s">
        <v>218</v>
      </c>
      <c r="C34" s="30" t="s">
        <v>219</v>
      </c>
      <c r="D34" s="30" t="s">
        <v>220</v>
      </c>
      <c r="E34" s="30" t="s">
        <v>1264</v>
      </c>
      <c r="F34" s="30" t="s">
        <v>222</v>
      </c>
      <c r="G34" s="33" t="s">
        <v>146</v>
      </c>
      <c r="H34" s="44">
        <f>$K$5</f>
        <v>46391.0</v>
      </c>
      <c r="I34" s="44">
        <f>$K$6</f>
        <v>46409.0</v>
      </c>
      <c r="J34" s="33"/>
      <c r="K34" s="33" t="s">
        <v>245</v>
      </c>
      <c r="L34" s="33"/>
      <c r="M34" s="45" t="str">
        <f>IF(L34="Compliant",1,IF(L34="Partially Compliant",0.5,IF(L34="Non-Compliant",0,"")))</f>
        <v/>
      </c>
      <c r="N34" s="33"/>
      <c r="O34" s="33"/>
      <c r="P34" s="33"/>
      <c r="Q34" s="31"/>
    </row>
    <row r="35" spans="8:8" ht="35.05">
      <c r="A35" s="30" t="s">
        <v>1265</v>
      </c>
      <c r="B35" s="30" t="s">
        <v>223</v>
      </c>
      <c r="C35" s="30" t="s">
        <v>224</v>
      </c>
      <c r="D35" s="30" t="s">
        <v>225</v>
      </c>
      <c r="E35" s="30" t="s">
        <v>1266</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23.85">
      <c r="A36" s="30" t="s">
        <v>1267</v>
      </c>
      <c r="B36" s="30" t="s">
        <v>228</v>
      </c>
      <c r="C36" s="30" t="s">
        <v>229</v>
      </c>
      <c r="D36" s="30" t="s">
        <v>230</v>
      </c>
      <c r="E36" s="30" t="s">
        <v>1268</v>
      </c>
      <c r="F36" s="30" t="s">
        <v>232</v>
      </c>
      <c r="G36" s="33" t="s">
        <v>146</v>
      </c>
      <c r="H36" s="44">
        <f>$K$5</f>
        <v>46391.0</v>
      </c>
      <c r="I36" s="44">
        <f>$K$6</f>
        <v>46409.0</v>
      </c>
      <c r="J36" s="33"/>
      <c r="K36" s="33" t="s">
        <v>245</v>
      </c>
      <c r="L36" s="33"/>
      <c r="M36" s="45" t="str">
        <f>IF(L36="Compliant",1,IF(L36="Partially Compliant",0.5,IF(L36="Non-Compliant",0,"")))</f>
        <v/>
      </c>
      <c r="N36" s="33"/>
      <c r="O36" s="33"/>
      <c r="P36" s="33"/>
      <c r="Q36" s="31"/>
    </row>
    <row r="37" spans="8:8" ht="35.05">
      <c r="A37" s="30" t="s">
        <v>1269</v>
      </c>
      <c r="B37" s="43" t="s">
        <v>1270</v>
      </c>
      <c r="C37" s="30" t="s">
        <v>1271</v>
      </c>
      <c r="D37" s="30" t="s">
        <v>1272</v>
      </c>
      <c r="E37" s="30" t="s">
        <v>1273</v>
      </c>
      <c r="F37" s="30" t="s">
        <v>1274</v>
      </c>
      <c r="G37" s="33" t="s">
        <v>146</v>
      </c>
      <c r="H37" s="44">
        <f>$K$5</f>
        <v>46391.0</v>
      </c>
      <c r="I37" s="44">
        <f>$K$6</f>
        <v>46409.0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59">
      <formula>"Partially Compliant"</formula>
    </cfRule>
    <cfRule type="cellIs" operator="equal" priority="4" dxfId="60">
      <formula>"Non-Compliant"</formula>
    </cfRule>
    <cfRule type="cellIs" operator="equal" priority="2" dxfId="61">
      <formula>"Compliant"</formula>
    </cfRule>
  </conditionalFormatting>
  <conditionalFormatting sqref="G15:G37">
    <cfRule type="cellIs" operator="equal" priority="5" dxfId="62">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0.xml><?xml version="1.0" encoding="utf-8"?>
<worksheet xmlns:r="http://schemas.openxmlformats.org/officeDocument/2006/relationships" xmlns="http://schemas.openxmlformats.org/spreadsheetml/2006/main">
  <sheetPr>
    <tabColor rgb="FF548235"/>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1275</v>
      </c>
      <c r="N1" s="34" t="s">
        <v>277</v>
      </c>
    </row>
    <row r="2" spans="8:8" ht="15.0">
      <c r="A2" s="12" t="s">
        <v>278</v>
      </c>
    </row>
    <row r="4" spans="8:8" ht="15.75" customHeight="1">
      <c r="A4" s="35" t="s">
        <v>59</v>
      </c>
      <c r="B4" s="35"/>
      <c r="C4" s="36" t="s">
        <v>89</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72</v>
      </c>
      <c r="D6" s="36"/>
      <c r="E6" s="36"/>
      <c r="F6" s="36"/>
      <c r="H6" s="35" t="s">
        <v>283</v>
      </c>
      <c r="I6" s="35"/>
      <c r="J6" s="35"/>
      <c r="K6" s="38">
        <v>46409.0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1276</v>
      </c>
      <c r="D8" s="36"/>
      <c r="E8" s="36"/>
      <c r="F8" s="36"/>
      <c r="H8" s="35" t="s">
        <v>34</v>
      </c>
      <c r="I8" s="35"/>
      <c r="J8" s="35"/>
      <c r="K8" s="40">
        <f>COUNTIF(K15:K38,"Completed")</f>
        <v>0.0</v>
      </c>
    </row>
    <row r="9" spans="8:8" ht="15.75" customHeight="1">
      <c r="A9" s="35" t="s">
        <v>287</v>
      </c>
      <c r="B9" s="35"/>
      <c r="C9" s="36" t="s">
        <v>1277</v>
      </c>
      <c r="D9" s="36"/>
      <c r="E9" s="36"/>
      <c r="F9" s="36"/>
      <c r="H9" s="35" t="s">
        <v>64</v>
      </c>
      <c r="I9" s="35"/>
      <c r="J9" s="35"/>
      <c r="K9" s="40">
        <f>COUNTIF(L15:L38,"Compliant")</f>
        <v>0.0</v>
      </c>
    </row>
    <row r="10" spans="8:8" ht="15.75" customHeight="1">
      <c r="A10" s="35" t="s">
        <v>289</v>
      </c>
      <c r="B10" s="35"/>
      <c r="C10" s="36" t="s">
        <v>1278</v>
      </c>
      <c r="D10" s="36"/>
      <c r="E10" s="36"/>
      <c r="F10" s="36"/>
      <c r="H10" s="35" t="s">
        <v>36</v>
      </c>
      <c r="I10" s="35"/>
      <c r="J10" s="35"/>
      <c r="K10" s="40">
        <f>COUNTIF(L15:L38,"Partially Compliant")</f>
        <v>0.0</v>
      </c>
    </row>
    <row r="11" spans="8:8" ht="15.75" customHeight="1">
      <c r="A11" s="35" t="s">
        <v>291</v>
      </c>
      <c r="B11" s="35"/>
      <c r="C11" s="39" t="s">
        <v>30</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1279</v>
      </c>
      <c r="B15" s="30" t="s">
        <v>122</v>
      </c>
      <c r="C15" s="30" t="s">
        <v>123</v>
      </c>
      <c r="D15" s="30" t="s">
        <v>124</v>
      </c>
      <c r="E15" s="30" t="s">
        <v>1280</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1281</v>
      </c>
      <c r="B16" s="30" t="s">
        <v>127</v>
      </c>
      <c r="C16" s="30" t="s">
        <v>128</v>
      </c>
      <c r="D16" s="30" t="s">
        <v>129</v>
      </c>
      <c r="E16" s="30" t="s">
        <v>1282</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1283</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1284</v>
      </c>
      <c r="B18" s="30" t="s">
        <v>28</v>
      </c>
      <c r="C18" s="30" t="s">
        <v>137</v>
      </c>
      <c r="D18" s="30" t="s">
        <v>138</v>
      </c>
      <c r="E18" s="30" t="s">
        <v>1285</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1286</v>
      </c>
      <c r="B19" s="30" t="s">
        <v>141</v>
      </c>
      <c r="C19" s="30" t="s">
        <v>142</v>
      </c>
      <c r="D19" s="30" t="s">
        <v>143</v>
      </c>
      <c r="E19" s="30" t="s">
        <v>1287</v>
      </c>
      <c r="F19" s="30" t="s">
        <v>145</v>
      </c>
      <c r="G19" s="33" t="s">
        <v>30</v>
      </c>
      <c r="H19" s="44">
        <f>$K$5</f>
        <v>46391.0</v>
      </c>
      <c r="I19" s="44">
        <f>$K$6</f>
        <v>46409.0</v>
      </c>
      <c r="J19" s="33"/>
      <c r="K19" s="33" t="s">
        <v>245</v>
      </c>
      <c r="L19" s="33"/>
      <c r="M19" s="45" t="str">
        <f>IF(L19="Compliant",1,IF(L19="Partially Compliant",0.5,IF(L19="Non-Compliant",0,"")))</f>
        <v/>
      </c>
      <c r="N19" s="33"/>
      <c r="O19" s="33"/>
      <c r="P19" s="33"/>
      <c r="Q19" s="31"/>
    </row>
    <row r="20" spans="8:8" ht="46.25">
      <c r="A20" s="30" t="s">
        <v>1288</v>
      </c>
      <c r="B20" s="30" t="s">
        <v>147</v>
      </c>
      <c r="C20" s="30" t="s">
        <v>148</v>
      </c>
      <c r="D20" s="30" t="s">
        <v>149</v>
      </c>
      <c r="E20" s="30" t="s">
        <v>1289</v>
      </c>
      <c r="F20" s="30" t="s">
        <v>151</v>
      </c>
      <c r="G20" s="33" t="s">
        <v>30</v>
      </c>
      <c r="H20" s="44">
        <f>$K$5</f>
        <v>46391.0</v>
      </c>
      <c r="I20" s="44">
        <f>$K$6</f>
        <v>46409.0</v>
      </c>
      <c r="J20" s="33"/>
      <c r="K20" s="33" t="s">
        <v>245</v>
      </c>
      <c r="L20" s="33"/>
      <c r="M20" s="45" t="str">
        <f>IF(L20="Compliant",1,IF(L20="Partially Compliant",0.5,IF(L20="Non-Compliant",0,"")))</f>
        <v/>
      </c>
      <c r="N20" s="33"/>
      <c r="O20" s="33"/>
      <c r="P20" s="33"/>
      <c r="Q20" s="31"/>
    </row>
    <row r="21" spans="8:8" ht="35.05">
      <c r="A21" s="30" t="s">
        <v>1290</v>
      </c>
      <c r="B21" s="30" t="s">
        <v>152</v>
      </c>
      <c r="C21" s="30" t="s">
        <v>153</v>
      </c>
      <c r="D21" s="30" t="s">
        <v>154</v>
      </c>
      <c r="E21" s="30" t="s">
        <v>155</v>
      </c>
      <c r="F21" s="30" t="s">
        <v>156</v>
      </c>
      <c r="G21" s="33" t="s">
        <v>30</v>
      </c>
      <c r="H21" s="44">
        <f>$K$5</f>
        <v>46391.0</v>
      </c>
      <c r="I21" s="44">
        <f>$K$6</f>
        <v>46409.0</v>
      </c>
      <c r="J21" s="33"/>
      <c r="K21" s="33" t="s">
        <v>245</v>
      </c>
      <c r="L21" s="33"/>
      <c r="M21" s="45" t="str">
        <f>IF(L21="Compliant",1,IF(L21="Partially Compliant",0.5,IF(L21="Non-Compliant",0,"")))</f>
        <v/>
      </c>
      <c r="N21" s="33"/>
      <c r="O21" s="33"/>
      <c r="P21" s="33"/>
      <c r="Q21" s="31"/>
    </row>
    <row r="22" spans="8:8" ht="35.05">
      <c r="A22" s="30" t="s">
        <v>1291</v>
      </c>
      <c r="B22" s="30" t="s">
        <v>157</v>
      </c>
      <c r="C22" s="30" t="s">
        <v>158</v>
      </c>
      <c r="D22" s="30" t="s">
        <v>159</v>
      </c>
      <c r="E22" s="30" t="s">
        <v>160</v>
      </c>
      <c r="F22" s="30" t="s">
        <v>161</v>
      </c>
      <c r="G22" s="33" t="s">
        <v>30</v>
      </c>
      <c r="H22" s="44">
        <f>$K$5</f>
        <v>46391.0</v>
      </c>
      <c r="I22" s="44">
        <f>$K$6</f>
        <v>46409.0</v>
      </c>
      <c r="J22" s="33"/>
      <c r="K22" s="33" t="s">
        <v>245</v>
      </c>
      <c r="L22" s="33"/>
      <c r="M22" s="45" t="str">
        <f>IF(L22="Compliant",1,IF(L22="Partially Compliant",0.5,IF(L22="Non-Compliant",0,"")))</f>
        <v/>
      </c>
      <c r="N22" s="33"/>
      <c r="O22" s="33"/>
      <c r="P22" s="33"/>
      <c r="Q22" s="31"/>
    </row>
    <row r="23" spans="8:8" ht="35.05">
      <c r="A23" s="30" t="s">
        <v>1292</v>
      </c>
      <c r="B23" s="30" t="s">
        <v>162</v>
      </c>
      <c r="C23" s="30" t="s">
        <v>163</v>
      </c>
      <c r="D23" s="30" t="s">
        <v>164</v>
      </c>
      <c r="E23" s="30" t="s">
        <v>1293</v>
      </c>
      <c r="F23" s="30" t="s">
        <v>166</v>
      </c>
      <c r="G23" s="33" t="s">
        <v>30</v>
      </c>
      <c r="H23" s="44">
        <f>$K$5</f>
        <v>46391.0</v>
      </c>
      <c r="I23" s="44">
        <f>$K$6</f>
        <v>46409.0</v>
      </c>
      <c r="J23" s="33"/>
      <c r="K23" s="33" t="s">
        <v>245</v>
      </c>
      <c r="L23" s="33"/>
      <c r="M23" s="45" t="str">
        <f>IF(L23="Compliant",1,IF(L23="Partially Compliant",0.5,IF(L23="Non-Compliant",0,"")))</f>
        <v/>
      </c>
      <c r="N23" s="33"/>
      <c r="O23" s="33"/>
      <c r="P23" s="33"/>
      <c r="Q23" s="31"/>
    </row>
    <row r="24" spans="8:8" ht="35.05">
      <c r="A24" s="30" t="s">
        <v>1294</v>
      </c>
      <c r="B24" s="30" t="s">
        <v>167</v>
      </c>
      <c r="C24" s="30" t="s">
        <v>168</v>
      </c>
      <c r="D24" s="30" t="s">
        <v>169</v>
      </c>
      <c r="E24" s="30" t="s">
        <v>1295</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1296</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35.05">
      <c r="A26" s="30" t="s">
        <v>1297</v>
      </c>
      <c r="B26" s="30" t="s">
        <v>177</v>
      </c>
      <c r="C26" s="30" t="s">
        <v>178</v>
      </c>
      <c r="D26" s="30" t="s">
        <v>1298</v>
      </c>
      <c r="E26" s="30" t="s">
        <v>1299</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1300</v>
      </c>
      <c r="B27" s="30" t="s">
        <v>182</v>
      </c>
      <c r="C27" s="30" t="s">
        <v>183</v>
      </c>
      <c r="D27" s="30" t="s">
        <v>184</v>
      </c>
      <c r="E27" s="30" t="s">
        <v>1301</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35.05">
      <c r="A28" s="30" t="s">
        <v>1302</v>
      </c>
      <c r="B28" s="30" t="s">
        <v>187</v>
      </c>
      <c r="C28" s="30" t="s">
        <v>188</v>
      </c>
      <c r="D28" s="30" t="s">
        <v>189</v>
      </c>
      <c r="E28" s="30" t="s">
        <v>1303</v>
      </c>
      <c r="F28" s="30" t="s">
        <v>191</v>
      </c>
      <c r="G28" s="33" t="s">
        <v>30</v>
      </c>
      <c r="H28" s="44">
        <f>$K$5</f>
        <v>46391.0</v>
      </c>
      <c r="I28" s="44">
        <f>$K$6</f>
        <v>46409.0</v>
      </c>
      <c r="J28" s="33"/>
      <c r="K28" s="33" t="s">
        <v>245</v>
      </c>
      <c r="L28" s="33"/>
      <c r="M28" s="45" t="str">
        <f>IF(L28="Compliant",1,IF(L28="Partially Compliant",0.5,IF(L28="Non-Compliant",0,"")))</f>
        <v/>
      </c>
      <c r="N28" s="33"/>
      <c r="O28" s="33"/>
      <c r="P28" s="33"/>
      <c r="Q28" s="31"/>
    </row>
    <row r="29" spans="8:8" ht="35.05">
      <c r="A29" s="30" t="s">
        <v>1304</v>
      </c>
      <c r="B29" s="30" t="s">
        <v>192</v>
      </c>
      <c r="C29" s="30" t="s">
        <v>193</v>
      </c>
      <c r="D29" s="30" t="s">
        <v>194</v>
      </c>
      <c r="E29" s="30" t="s">
        <v>1305</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1306</v>
      </c>
      <c r="B30" s="30" t="s">
        <v>197</v>
      </c>
      <c r="C30" s="30" t="s">
        <v>198</v>
      </c>
      <c r="D30" s="30" t="s">
        <v>199</v>
      </c>
      <c r="E30" s="30" t="s">
        <v>1307</v>
      </c>
      <c r="F30" s="30" t="s">
        <v>201</v>
      </c>
      <c r="G30" s="33" t="s">
        <v>30</v>
      </c>
      <c r="H30" s="44">
        <f>$K$5</f>
        <v>46391.0</v>
      </c>
      <c r="I30" s="44">
        <f>$K$6</f>
        <v>46409.0</v>
      </c>
      <c r="J30" s="33"/>
      <c r="K30" s="33" t="s">
        <v>245</v>
      </c>
      <c r="L30" s="33"/>
      <c r="M30" s="45" t="str">
        <f>IF(L30="Compliant",1,IF(L30="Partially Compliant",0.5,IF(L30="Non-Compliant",0,"")))</f>
        <v/>
      </c>
      <c r="N30" s="33"/>
      <c r="O30" s="33"/>
      <c r="P30" s="33"/>
      <c r="Q30" s="31"/>
    </row>
    <row r="31" spans="8:8" ht="35.05">
      <c r="A31" s="30" t="s">
        <v>1308</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1309</v>
      </c>
      <c r="B32" s="30" t="s">
        <v>208</v>
      </c>
      <c r="C32" s="30" t="s">
        <v>209</v>
      </c>
      <c r="D32" s="30" t="s">
        <v>210</v>
      </c>
      <c r="E32" s="30" t="s">
        <v>1310</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1311</v>
      </c>
      <c r="B33" s="30" t="s">
        <v>213</v>
      </c>
      <c r="C33" s="30" t="s">
        <v>214</v>
      </c>
      <c r="D33" s="30" t="s">
        <v>215</v>
      </c>
      <c r="E33" s="30" t="s">
        <v>1312</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23.85">
      <c r="A34" s="30" t="s">
        <v>1313</v>
      </c>
      <c r="B34" s="30" t="s">
        <v>218</v>
      </c>
      <c r="C34" s="30" t="s">
        <v>219</v>
      </c>
      <c r="D34" s="30" t="s">
        <v>220</v>
      </c>
      <c r="E34" s="30" t="s">
        <v>1314</v>
      </c>
      <c r="F34" s="30" t="s">
        <v>222</v>
      </c>
      <c r="G34" s="33" t="s">
        <v>30</v>
      </c>
      <c r="H34" s="44">
        <f>$K$5</f>
        <v>46391.0</v>
      </c>
      <c r="I34" s="44">
        <f>$K$6</f>
        <v>46409.0</v>
      </c>
      <c r="J34" s="33"/>
      <c r="K34" s="33" t="s">
        <v>245</v>
      </c>
      <c r="L34" s="33"/>
      <c r="M34" s="45" t="str">
        <f>IF(L34="Compliant",1,IF(L34="Partially Compliant",0.5,IF(L34="Non-Compliant",0,"")))</f>
        <v/>
      </c>
      <c r="N34" s="33"/>
      <c r="O34" s="33"/>
      <c r="P34" s="33"/>
      <c r="Q34" s="31"/>
    </row>
    <row r="35" spans="8:8" ht="35.05">
      <c r="A35" s="30" t="s">
        <v>1315</v>
      </c>
      <c r="B35" s="30" t="s">
        <v>223</v>
      </c>
      <c r="C35" s="30" t="s">
        <v>224</v>
      </c>
      <c r="D35" s="30" t="s">
        <v>225</v>
      </c>
      <c r="E35" s="30" t="s">
        <v>1316</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23.85">
      <c r="A36" s="30" t="s">
        <v>1317</v>
      </c>
      <c r="B36" s="30" t="s">
        <v>228</v>
      </c>
      <c r="C36" s="30" t="s">
        <v>229</v>
      </c>
      <c r="D36" s="30" t="s">
        <v>230</v>
      </c>
      <c r="E36" s="30" t="s">
        <v>1318</v>
      </c>
      <c r="F36" s="30" t="s">
        <v>232</v>
      </c>
      <c r="G36" s="33" t="s">
        <v>30</v>
      </c>
      <c r="H36" s="44">
        <f>$K$5</f>
        <v>46391.0</v>
      </c>
      <c r="I36" s="44">
        <f>$K$6</f>
        <v>46409.0</v>
      </c>
      <c r="J36" s="33"/>
      <c r="K36" s="33" t="s">
        <v>245</v>
      </c>
      <c r="L36" s="33"/>
      <c r="M36" s="45" t="str">
        <f>IF(L36="Compliant",1,IF(L36="Partially Compliant",0.5,IF(L36="Non-Compliant",0,"")))</f>
        <v/>
      </c>
      <c r="N36" s="33"/>
      <c r="O36" s="33"/>
      <c r="P36" s="33"/>
      <c r="Q36" s="31"/>
    </row>
    <row r="37" spans="8:8" ht="23.85">
      <c r="A37" s="30" t="s">
        <v>1319</v>
      </c>
      <c r="B37" s="43" t="s">
        <v>1320</v>
      </c>
      <c r="C37" s="30" t="s">
        <v>1321</v>
      </c>
      <c r="D37" s="30" t="s">
        <v>1322</v>
      </c>
      <c r="E37" s="30" t="s">
        <v>1323</v>
      </c>
      <c r="F37" s="30" t="s">
        <v>1324</v>
      </c>
      <c r="G37" s="33" t="s">
        <v>30</v>
      </c>
      <c r="H37" s="44">
        <f>$K$5</f>
        <v>46391.0</v>
      </c>
      <c r="I37" s="44">
        <f>$K$6</f>
        <v>46409.0</v>
      </c>
      <c r="J37" s="33"/>
      <c r="K37" s="33" t="s">
        <v>245</v>
      </c>
      <c r="L37" s="33"/>
      <c r="M37" s="45" t="str">
        <f>IF(L37="Compliant",1,IF(L37="Partially Compliant",0.5,IF(L37="Non-Compliant",0,"")))</f>
        <v/>
      </c>
      <c r="N37" s="33"/>
      <c r="O37" s="33"/>
      <c r="P37" s="33"/>
      <c r="Q37" s="31"/>
    </row>
    <row r="38" spans="8:8" ht="23.85">
      <c r="A38" s="30" t="s">
        <v>1325</v>
      </c>
      <c r="B38" s="43" t="s">
        <v>1326</v>
      </c>
      <c r="C38" s="30" t="s">
        <v>168</v>
      </c>
      <c r="D38" s="30" t="s">
        <v>1327</v>
      </c>
      <c r="E38" s="30" t="s">
        <v>1328</v>
      </c>
      <c r="F38" s="30" t="s">
        <v>1329</v>
      </c>
      <c r="G38" s="33" t="s">
        <v>30</v>
      </c>
      <c r="H38" s="44">
        <f>$K$5</f>
        <v>46391.0</v>
      </c>
      <c r="I38" s="44">
        <f>$K$6</f>
        <v>46409.0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63">
      <formula>"Partially Compliant"</formula>
    </cfRule>
    <cfRule type="cellIs" operator="equal" priority="4" dxfId="64">
      <formula>"Non-Compliant"</formula>
    </cfRule>
    <cfRule type="cellIs" operator="equal" priority="2" dxfId="65">
      <formula>"Compliant"</formula>
    </cfRule>
  </conditionalFormatting>
  <conditionalFormatting sqref="G15:G38">
    <cfRule type="cellIs" operator="equal" priority="5" dxfId="66">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1.xml><?xml version="1.0" encoding="utf-8"?>
<worksheet xmlns:r="http://schemas.openxmlformats.org/officeDocument/2006/relationships" xmlns="http://schemas.openxmlformats.org/spreadsheetml/2006/main">
  <sheetPr>
    <tabColor rgb="FF548235"/>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1330</v>
      </c>
      <c r="N1" s="34" t="s">
        <v>277</v>
      </c>
    </row>
    <row r="2" spans="8:8" ht="15.0">
      <c r="A2" s="12" t="s">
        <v>278</v>
      </c>
    </row>
    <row r="4" spans="8:8" ht="15.75" customHeight="1">
      <c r="A4" s="35" t="s">
        <v>59</v>
      </c>
      <c r="B4" s="35"/>
      <c r="C4" s="36" t="s">
        <v>90</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72</v>
      </c>
      <c r="D6" s="36"/>
      <c r="E6" s="36"/>
      <c r="F6" s="36"/>
      <c r="H6" s="35" t="s">
        <v>283</v>
      </c>
      <c r="I6" s="35"/>
      <c r="J6" s="35"/>
      <c r="K6" s="38">
        <v>46409.0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1331</v>
      </c>
      <c r="D8" s="36"/>
      <c r="E8" s="36"/>
      <c r="F8" s="36"/>
      <c r="H8" s="35" t="s">
        <v>34</v>
      </c>
      <c r="I8" s="35"/>
      <c r="J8" s="35"/>
      <c r="K8" s="40">
        <f>COUNTIF(K15:K38,"Completed")</f>
        <v>0.0</v>
      </c>
    </row>
    <row r="9" spans="8:8" ht="15.75" customHeight="1">
      <c r="A9" s="35" t="s">
        <v>287</v>
      </c>
      <c r="B9" s="35"/>
      <c r="C9" s="36" t="s">
        <v>1332</v>
      </c>
      <c r="D9" s="36"/>
      <c r="E9" s="36"/>
      <c r="F9" s="36"/>
      <c r="H9" s="35" t="s">
        <v>64</v>
      </c>
      <c r="I9" s="35"/>
      <c r="J9" s="35"/>
      <c r="K9" s="40">
        <f>COUNTIF(L15:L38,"Compliant")</f>
        <v>0.0</v>
      </c>
    </row>
    <row r="10" spans="8:8" ht="15.75" customHeight="1">
      <c r="A10" s="35" t="s">
        <v>289</v>
      </c>
      <c r="B10" s="35"/>
      <c r="C10" s="36" t="s">
        <v>1333</v>
      </c>
      <c r="D10" s="36"/>
      <c r="E10" s="36"/>
      <c r="F10" s="36"/>
      <c r="H10" s="35" t="s">
        <v>36</v>
      </c>
      <c r="I10" s="35"/>
      <c r="J10" s="35"/>
      <c r="K10" s="40">
        <f>COUNTIF(L15:L38,"Partially Compliant")</f>
        <v>0.0</v>
      </c>
    </row>
    <row r="11" spans="8:8" ht="15.75" customHeight="1">
      <c r="A11" s="35" t="s">
        <v>291</v>
      </c>
      <c r="B11" s="35"/>
      <c r="C11" s="39" t="s">
        <v>146</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1334</v>
      </c>
      <c r="B15" s="30" t="s">
        <v>122</v>
      </c>
      <c r="C15" s="30" t="s">
        <v>123</v>
      </c>
      <c r="D15" s="30" t="s">
        <v>124</v>
      </c>
      <c r="E15" s="30" t="s">
        <v>1335</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1336</v>
      </c>
      <c r="B16" s="30" t="s">
        <v>127</v>
      </c>
      <c r="C16" s="30" t="s">
        <v>128</v>
      </c>
      <c r="D16" s="30" t="s">
        <v>129</v>
      </c>
      <c r="E16" s="30" t="s">
        <v>1337</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1338</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1339</v>
      </c>
      <c r="B18" s="30" t="s">
        <v>28</v>
      </c>
      <c r="C18" s="30" t="s">
        <v>137</v>
      </c>
      <c r="D18" s="30" t="s">
        <v>138</v>
      </c>
      <c r="E18" s="30" t="s">
        <v>1340</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1341</v>
      </c>
      <c r="B19" s="30" t="s">
        <v>141</v>
      </c>
      <c r="C19" s="30" t="s">
        <v>142</v>
      </c>
      <c r="D19" s="30" t="s">
        <v>143</v>
      </c>
      <c r="E19" s="30" t="s">
        <v>1342</v>
      </c>
      <c r="F19" s="30" t="s">
        <v>145</v>
      </c>
      <c r="G19" s="33" t="s">
        <v>146</v>
      </c>
      <c r="H19" s="44">
        <f>$K$5</f>
        <v>46391.0</v>
      </c>
      <c r="I19" s="44">
        <f>$K$6</f>
        <v>46409.0</v>
      </c>
      <c r="J19" s="33"/>
      <c r="K19" s="33" t="s">
        <v>245</v>
      </c>
      <c r="L19" s="33"/>
      <c r="M19" s="45" t="str">
        <f>IF(L19="Compliant",1,IF(L19="Partially Compliant",0.5,IF(L19="Non-Compliant",0,"")))</f>
        <v/>
      </c>
      <c r="N19" s="33"/>
      <c r="O19" s="33"/>
      <c r="P19" s="33"/>
      <c r="Q19" s="31"/>
    </row>
    <row r="20" spans="8:8" ht="46.25">
      <c r="A20" s="30" t="s">
        <v>1343</v>
      </c>
      <c r="B20" s="30" t="s">
        <v>147</v>
      </c>
      <c r="C20" s="30" t="s">
        <v>148</v>
      </c>
      <c r="D20" s="30" t="s">
        <v>149</v>
      </c>
      <c r="E20" s="30" t="s">
        <v>1344</v>
      </c>
      <c r="F20" s="30" t="s">
        <v>151</v>
      </c>
      <c r="G20" s="33" t="s">
        <v>146</v>
      </c>
      <c r="H20" s="44">
        <f>$K$5</f>
        <v>46391.0</v>
      </c>
      <c r="I20" s="44">
        <f>$K$6</f>
        <v>46409.0</v>
      </c>
      <c r="J20" s="33"/>
      <c r="K20" s="33" t="s">
        <v>245</v>
      </c>
      <c r="L20" s="33"/>
      <c r="M20" s="45" t="str">
        <f>IF(L20="Compliant",1,IF(L20="Partially Compliant",0.5,IF(L20="Non-Compliant",0,"")))</f>
        <v/>
      </c>
      <c r="N20" s="33"/>
      <c r="O20" s="33"/>
      <c r="P20" s="33"/>
      <c r="Q20" s="31"/>
    </row>
    <row r="21" spans="8:8" ht="35.05">
      <c r="A21" s="30" t="s">
        <v>1345</v>
      </c>
      <c r="B21" s="30" t="s">
        <v>152</v>
      </c>
      <c r="C21" s="30" t="s">
        <v>153</v>
      </c>
      <c r="D21" s="30" t="s">
        <v>154</v>
      </c>
      <c r="E21" s="30" t="s">
        <v>155</v>
      </c>
      <c r="F21" s="30" t="s">
        <v>156</v>
      </c>
      <c r="G21" s="33" t="s">
        <v>146</v>
      </c>
      <c r="H21" s="44">
        <f>$K$5</f>
        <v>46391.0</v>
      </c>
      <c r="I21" s="44">
        <f>$K$6</f>
        <v>46409.0</v>
      </c>
      <c r="J21" s="33"/>
      <c r="K21" s="33" t="s">
        <v>245</v>
      </c>
      <c r="L21" s="33"/>
      <c r="M21" s="45" t="str">
        <f>IF(L21="Compliant",1,IF(L21="Partially Compliant",0.5,IF(L21="Non-Compliant",0,"")))</f>
        <v/>
      </c>
      <c r="N21" s="33"/>
      <c r="O21" s="33"/>
      <c r="P21" s="33"/>
      <c r="Q21" s="31"/>
    </row>
    <row r="22" spans="8:8" ht="35.05">
      <c r="A22" s="30" t="s">
        <v>1346</v>
      </c>
      <c r="B22" s="30" t="s">
        <v>157</v>
      </c>
      <c r="C22" s="30" t="s">
        <v>158</v>
      </c>
      <c r="D22" s="30" t="s">
        <v>159</v>
      </c>
      <c r="E22" s="30" t="s">
        <v>160</v>
      </c>
      <c r="F22" s="30" t="s">
        <v>161</v>
      </c>
      <c r="G22" s="33" t="s">
        <v>146</v>
      </c>
      <c r="H22" s="44">
        <f>$K$5</f>
        <v>46391.0</v>
      </c>
      <c r="I22" s="44">
        <f>$K$6</f>
        <v>46409.0</v>
      </c>
      <c r="J22" s="33"/>
      <c r="K22" s="33" t="s">
        <v>245</v>
      </c>
      <c r="L22" s="33"/>
      <c r="M22" s="45" t="str">
        <f>IF(L22="Compliant",1,IF(L22="Partially Compliant",0.5,IF(L22="Non-Compliant",0,"")))</f>
        <v/>
      </c>
      <c r="N22" s="33"/>
      <c r="O22" s="33"/>
      <c r="P22" s="33"/>
      <c r="Q22" s="31"/>
    </row>
    <row r="23" spans="8:8" ht="35.05">
      <c r="A23" s="30" t="s">
        <v>1347</v>
      </c>
      <c r="B23" s="30" t="s">
        <v>162</v>
      </c>
      <c r="C23" s="30" t="s">
        <v>163</v>
      </c>
      <c r="D23" s="30" t="s">
        <v>164</v>
      </c>
      <c r="E23" s="30" t="s">
        <v>1348</v>
      </c>
      <c r="F23" s="30" t="s">
        <v>166</v>
      </c>
      <c r="G23" s="33" t="s">
        <v>146</v>
      </c>
      <c r="H23" s="44">
        <f>$K$5</f>
        <v>46391.0</v>
      </c>
      <c r="I23" s="44">
        <f>$K$6</f>
        <v>46409.0</v>
      </c>
      <c r="J23" s="33"/>
      <c r="K23" s="33" t="s">
        <v>245</v>
      </c>
      <c r="L23" s="33"/>
      <c r="M23" s="45" t="str">
        <f>IF(L23="Compliant",1,IF(L23="Partially Compliant",0.5,IF(L23="Non-Compliant",0,"")))</f>
        <v/>
      </c>
      <c r="N23" s="33"/>
      <c r="O23" s="33"/>
      <c r="P23" s="33"/>
      <c r="Q23" s="31"/>
    </row>
    <row r="24" spans="8:8" ht="35.05">
      <c r="A24" s="30" t="s">
        <v>1349</v>
      </c>
      <c r="B24" s="30" t="s">
        <v>167</v>
      </c>
      <c r="C24" s="30" t="s">
        <v>168</v>
      </c>
      <c r="D24" s="30" t="s">
        <v>169</v>
      </c>
      <c r="E24" s="30" t="s">
        <v>1350</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1351</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35.05">
      <c r="A26" s="30" t="s">
        <v>1352</v>
      </c>
      <c r="B26" s="30" t="s">
        <v>177</v>
      </c>
      <c r="C26" s="30" t="s">
        <v>178</v>
      </c>
      <c r="D26" s="30" t="s">
        <v>1353</v>
      </c>
      <c r="E26" s="30" t="s">
        <v>1354</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1355</v>
      </c>
      <c r="B27" s="30" t="s">
        <v>182</v>
      </c>
      <c r="C27" s="30" t="s">
        <v>183</v>
      </c>
      <c r="D27" s="30" t="s">
        <v>184</v>
      </c>
      <c r="E27" s="30" t="s">
        <v>1356</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35.05">
      <c r="A28" s="30" t="s">
        <v>1357</v>
      </c>
      <c r="B28" s="30" t="s">
        <v>187</v>
      </c>
      <c r="C28" s="30" t="s">
        <v>188</v>
      </c>
      <c r="D28" s="30" t="s">
        <v>189</v>
      </c>
      <c r="E28" s="30" t="s">
        <v>1358</v>
      </c>
      <c r="F28" s="30" t="s">
        <v>191</v>
      </c>
      <c r="G28" s="33" t="s">
        <v>146</v>
      </c>
      <c r="H28" s="44">
        <f>$K$5</f>
        <v>46391.0</v>
      </c>
      <c r="I28" s="44">
        <f>$K$6</f>
        <v>46409.0</v>
      </c>
      <c r="J28" s="33"/>
      <c r="K28" s="33" t="s">
        <v>245</v>
      </c>
      <c r="L28" s="33"/>
      <c r="M28" s="45" t="str">
        <f>IF(L28="Compliant",1,IF(L28="Partially Compliant",0.5,IF(L28="Non-Compliant",0,"")))</f>
        <v/>
      </c>
      <c r="N28" s="33"/>
      <c r="O28" s="33"/>
      <c r="P28" s="33"/>
      <c r="Q28" s="31"/>
    </row>
    <row r="29" spans="8:8" ht="35.05">
      <c r="A29" s="30" t="s">
        <v>1359</v>
      </c>
      <c r="B29" s="30" t="s">
        <v>192</v>
      </c>
      <c r="C29" s="30" t="s">
        <v>193</v>
      </c>
      <c r="D29" s="30" t="s">
        <v>194</v>
      </c>
      <c r="E29" s="30" t="s">
        <v>1360</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1361</v>
      </c>
      <c r="B30" s="30" t="s">
        <v>197</v>
      </c>
      <c r="C30" s="30" t="s">
        <v>198</v>
      </c>
      <c r="D30" s="30" t="s">
        <v>199</v>
      </c>
      <c r="E30" s="30" t="s">
        <v>1362</v>
      </c>
      <c r="F30" s="30" t="s">
        <v>201</v>
      </c>
      <c r="G30" s="33" t="s">
        <v>146</v>
      </c>
      <c r="H30" s="44">
        <f>$K$5</f>
        <v>46391.0</v>
      </c>
      <c r="I30" s="44">
        <f>$K$6</f>
        <v>46409.0</v>
      </c>
      <c r="J30" s="33"/>
      <c r="K30" s="33" t="s">
        <v>245</v>
      </c>
      <c r="L30" s="33"/>
      <c r="M30" s="45" t="str">
        <f>IF(L30="Compliant",1,IF(L30="Partially Compliant",0.5,IF(L30="Non-Compliant",0,"")))</f>
        <v/>
      </c>
      <c r="N30" s="33"/>
      <c r="O30" s="33"/>
      <c r="P30" s="33"/>
      <c r="Q30" s="31"/>
    </row>
    <row r="31" spans="8:8" ht="35.05">
      <c r="A31" s="30" t="s">
        <v>1363</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1364</v>
      </c>
      <c r="B32" s="30" t="s">
        <v>208</v>
      </c>
      <c r="C32" s="30" t="s">
        <v>209</v>
      </c>
      <c r="D32" s="30" t="s">
        <v>210</v>
      </c>
      <c r="E32" s="30" t="s">
        <v>1365</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1366</v>
      </c>
      <c r="B33" s="30" t="s">
        <v>213</v>
      </c>
      <c r="C33" s="30" t="s">
        <v>214</v>
      </c>
      <c r="D33" s="30" t="s">
        <v>215</v>
      </c>
      <c r="E33" s="30" t="s">
        <v>1367</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23.85">
      <c r="A34" s="30" t="s">
        <v>1368</v>
      </c>
      <c r="B34" s="30" t="s">
        <v>218</v>
      </c>
      <c r="C34" s="30" t="s">
        <v>219</v>
      </c>
      <c r="D34" s="30" t="s">
        <v>220</v>
      </c>
      <c r="E34" s="30" t="s">
        <v>1369</v>
      </c>
      <c r="F34" s="30" t="s">
        <v>222</v>
      </c>
      <c r="G34" s="33" t="s">
        <v>146</v>
      </c>
      <c r="H34" s="44">
        <f>$K$5</f>
        <v>46391.0</v>
      </c>
      <c r="I34" s="44">
        <f>$K$6</f>
        <v>46409.0</v>
      </c>
      <c r="J34" s="33"/>
      <c r="K34" s="33" t="s">
        <v>245</v>
      </c>
      <c r="L34" s="33"/>
      <c r="M34" s="45" t="str">
        <f>IF(L34="Compliant",1,IF(L34="Partially Compliant",0.5,IF(L34="Non-Compliant",0,"")))</f>
        <v/>
      </c>
      <c r="N34" s="33"/>
      <c r="O34" s="33"/>
      <c r="P34" s="33"/>
      <c r="Q34" s="31"/>
    </row>
    <row r="35" spans="8:8" ht="35.05">
      <c r="A35" s="30" t="s">
        <v>1370</v>
      </c>
      <c r="B35" s="30" t="s">
        <v>223</v>
      </c>
      <c r="C35" s="30" t="s">
        <v>224</v>
      </c>
      <c r="D35" s="30" t="s">
        <v>225</v>
      </c>
      <c r="E35" s="30" t="s">
        <v>1371</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23.85">
      <c r="A36" s="30" t="s">
        <v>1372</v>
      </c>
      <c r="B36" s="30" t="s">
        <v>228</v>
      </c>
      <c r="C36" s="30" t="s">
        <v>229</v>
      </c>
      <c r="D36" s="30" t="s">
        <v>230</v>
      </c>
      <c r="E36" s="30" t="s">
        <v>1373</v>
      </c>
      <c r="F36" s="30" t="s">
        <v>232</v>
      </c>
      <c r="G36" s="33" t="s">
        <v>146</v>
      </c>
      <c r="H36" s="44">
        <f>$K$5</f>
        <v>46391.0</v>
      </c>
      <c r="I36" s="44">
        <f>$K$6</f>
        <v>46409.0</v>
      </c>
      <c r="J36" s="33"/>
      <c r="K36" s="33" t="s">
        <v>245</v>
      </c>
      <c r="L36" s="33"/>
      <c r="M36" s="45" t="str">
        <f>IF(L36="Compliant",1,IF(L36="Partially Compliant",0.5,IF(L36="Non-Compliant",0,"")))</f>
        <v/>
      </c>
      <c r="N36" s="33"/>
      <c r="O36" s="33"/>
      <c r="P36" s="33"/>
      <c r="Q36" s="31"/>
    </row>
    <row r="37" spans="8:8" ht="23.85">
      <c r="A37" s="30" t="s">
        <v>1374</v>
      </c>
      <c r="B37" s="43" t="s">
        <v>1375</v>
      </c>
      <c r="C37" s="30" t="s">
        <v>985</v>
      </c>
      <c r="D37" s="30" t="s">
        <v>1376</v>
      </c>
      <c r="E37" s="30" t="s">
        <v>1377</v>
      </c>
      <c r="F37" s="30" t="s">
        <v>1378</v>
      </c>
      <c r="G37" s="33" t="s">
        <v>146</v>
      </c>
      <c r="H37" s="44">
        <f>$K$5</f>
        <v>46391.0</v>
      </c>
      <c r="I37" s="44">
        <f>$K$6</f>
        <v>46409.0</v>
      </c>
      <c r="J37" s="33"/>
      <c r="K37" s="33" t="s">
        <v>245</v>
      </c>
      <c r="L37" s="33"/>
      <c r="M37" s="45" t="str">
        <f>IF(L37="Compliant",1,IF(L37="Partially Compliant",0.5,IF(L37="Non-Compliant",0,"")))</f>
        <v/>
      </c>
      <c r="N37" s="33"/>
      <c r="O37" s="33"/>
      <c r="P37" s="33"/>
      <c r="Q37" s="31"/>
    </row>
    <row r="38" spans="8:8" ht="23.85">
      <c r="A38" s="30" t="s">
        <v>1379</v>
      </c>
      <c r="B38" s="43" t="s">
        <v>1380</v>
      </c>
      <c r="C38" s="30" t="s">
        <v>504</v>
      </c>
      <c r="D38" s="30" t="s">
        <v>1381</v>
      </c>
      <c r="E38" s="30" t="s">
        <v>1382</v>
      </c>
      <c r="F38" s="30" t="s">
        <v>1383</v>
      </c>
      <c r="G38" s="33" t="s">
        <v>146</v>
      </c>
      <c r="H38" s="44">
        <f>$K$5</f>
        <v>46391.0</v>
      </c>
      <c r="I38" s="44">
        <f>$K$6</f>
        <v>46409.0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67">
      <formula>"Partially Compliant"</formula>
    </cfRule>
    <cfRule type="cellIs" operator="equal" priority="4" dxfId="68">
      <formula>"Non-Compliant"</formula>
    </cfRule>
    <cfRule type="cellIs" operator="equal" priority="2" dxfId="69">
      <formula>"Compliant"</formula>
    </cfRule>
  </conditionalFormatting>
  <conditionalFormatting sqref="G15:G38">
    <cfRule type="cellIs" operator="equal" priority="5" dxfId="70">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2.xml><?xml version="1.0" encoding="utf-8"?>
<worksheet xmlns:r="http://schemas.openxmlformats.org/officeDocument/2006/relationships" xmlns="http://schemas.openxmlformats.org/spreadsheetml/2006/main">
  <sheetPr>
    <tabColor rgb="FF548235"/>
    <pageSetUpPr fitToPage="1"/>
  </sheetPr>
  <dimension ref="A1:R41"/>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1384</v>
      </c>
      <c r="N1" s="34" t="s">
        <v>277</v>
      </c>
    </row>
    <row r="2" spans="8:8" ht="15.0">
      <c r="A2" s="12" t="s">
        <v>278</v>
      </c>
    </row>
    <row r="4" spans="8:8" ht="15.75" customHeight="1">
      <c r="A4" s="35" t="s">
        <v>59</v>
      </c>
      <c r="B4" s="35"/>
      <c r="C4" s="36" t="s">
        <v>91</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85</v>
      </c>
      <c r="D6" s="36"/>
      <c r="E6" s="36"/>
      <c r="F6" s="36"/>
      <c r="H6" s="35" t="s">
        <v>283</v>
      </c>
      <c r="I6" s="35"/>
      <c r="J6" s="35"/>
      <c r="K6" s="38">
        <v>46409.0</v>
      </c>
    </row>
    <row r="7" spans="8:8" ht="15.75" customHeight="1">
      <c r="A7" s="35" t="s">
        <v>61</v>
      </c>
      <c r="B7" s="35"/>
      <c r="C7" s="39" t="s">
        <v>280</v>
      </c>
      <c r="D7" s="39"/>
      <c r="E7" s="39"/>
      <c r="F7" s="39"/>
      <c r="H7" s="35" t="s">
        <v>284</v>
      </c>
      <c r="I7" s="35"/>
      <c r="J7" s="35"/>
      <c r="K7" s="40">
        <f>COUNTA(A15:A39)</f>
        <v>25.0</v>
      </c>
    </row>
    <row r="8" spans="8:8" ht="15.75" customHeight="1">
      <c r="A8" s="35" t="s">
        <v>285</v>
      </c>
      <c r="B8" s="35"/>
      <c r="C8" s="36" t="s">
        <v>1385</v>
      </c>
      <c r="D8" s="36"/>
      <c r="E8" s="36"/>
      <c r="F8" s="36"/>
      <c r="H8" s="35" t="s">
        <v>34</v>
      </c>
      <c r="I8" s="35"/>
      <c r="J8" s="35"/>
      <c r="K8" s="40">
        <f>COUNTIF(K15:K39,"Completed")</f>
        <v>0.0</v>
      </c>
    </row>
    <row r="9" spans="8:8" ht="15.75" customHeight="1">
      <c r="A9" s="35" t="s">
        <v>287</v>
      </c>
      <c r="B9" s="35"/>
      <c r="C9" s="36" t="s">
        <v>1386</v>
      </c>
      <c r="D9" s="36"/>
      <c r="E9" s="36"/>
      <c r="F9" s="36"/>
      <c r="H9" s="35" t="s">
        <v>64</v>
      </c>
      <c r="I9" s="35"/>
      <c r="J9" s="35"/>
      <c r="K9" s="40">
        <f>COUNTIF(L15:L39,"Compliant")</f>
        <v>0.0</v>
      </c>
    </row>
    <row r="10" spans="8:8" ht="15.75" customHeight="1">
      <c r="A10" s="35" t="s">
        <v>289</v>
      </c>
      <c r="B10" s="35"/>
      <c r="C10" s="36" t="s">
        <v>1387</v>
      </c>
      <c r="D10" s="36"/>
      <c r="E10" s="36"/>
      <c r="F10" s="36"/>
      <c r="H10" s="35" t="s">
        <v>36</v>
      </c>
      <c r="I10" s="35"/>
      <c r="J10" s="35"/>
      <c r="K10" s="40">
        <f>COUNTIF(L15:L39,"Partially Compliant")</f>
        <v>0.0</v>
      </c>
    </row>
    <row r="11" spans="8:8" ht="15.75" customHeight="1">
      <c r="A11" s="35" t="s">
        <v>291</v>
      </c>
      <c r="B11" s="35"/>
      <c r="C11" s="39" t="s">
        <v>146</v>
      </c>
      <c r="D11" s="39"/>
      <c r="E11" s="39"/>
      <c r="F11" s="39"/>
      <c r="H11" s="35" t="s">
        <v>49</v>
      </c>
      <c r="I11" s="35"/>
      <c r="J11" s="35"/>
      <c r="K11" s="40">
        <f>COUNTIF(L15:L39,"Non-Compliant")</f>
        <v>0.0</v>
      </c>
    </row>
    <row r="12" spans="8:8" ht="15.0">
      <c r="H12" s="35" t="s">
        <v>292</v>
      </c>
      <c r="I12" s="35"/>
      <c r="J12" s="35"/>
      <c r="K12" s="40">
        <f>COUNTIF(L15:L39,"Not Applicable")</f>
        <v>0.0</v>
      </c>
    </row>
    <row r="13" spans="8:8" ht="15.0">
      <c r="H13" s="35" t="s">
        <v>293</v>
      </c>
      <c r="I13" s="35"/>
      <c r="J13" s="35"/>
      <c r="K13" s="41" t="str">
        <f>_xlfn.IFERROR(AVERAGE(M15:M39),"")</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1388</v>
      </c>
      <c r="B15" s="30" t="s">
        <v>122</v>
      </c>
      <c r="C15" s="30" t="s">
        <v>123</v>
      </c>
      <c r="D15" s="30" t="s">
        <v>124</v>
      </c>
      <c r="E15" s="30" t="s">
        <v>1389</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1390</v>
      </c>
      <c r="B16" s="30" t="s">
        <v>127</v>
      </c>
      <c r="C16" s="30" t="s">
        <v>128</v>
      </c>
      <c r="D16" s="30" t="s">
        <v>129</v>
      </c>
      <c r="E16" s="30" t="s">
        <v>1391</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1392</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1393</v>
      </c>
      <c r="B18" s="30" t="s">
        <v>28</v>
      </c>
      <c r="C18" s="30" t="s">
        <v>137</v>
      </c>
      <c r="D18" s="30" t="s">
        <v>138</v>
      </c>
      <c r="E18" s="30" t="s">
        <v>1394</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1395</v>
      </c>
      <c r="B19" s="30" t="s">
        <v>141</v>
      </c>
      <c r="C19" s="30" t="s">
        <v>142</v>
      </c>
      <c r="D19" s="30" t="s">
        <v>143</v>
      </c>
      <c r="E19" s="30" t="s">
        <v>1396</v>
      </c>
      <c r="F19" s="30" t="s">
        <v>145</v>
      </c>
      <c r="G19" s="33" t="s">
        <v>146</v>
      </c>
      <c r="H19" s="44">
        <f>$K$5</f>
        <v>46391.0</v>
      </c>
      <c r="I19" s="44">
        <f>$K$6</f>
        <v>46409.0</v>
      </c>
      <c r="J19" s="33"/>
      <c r="K19" s="33" t="s">
        <v>245</v>
      </c>
      <c r="L19" s="33"/>
      <c r="M19" s="45" t="str">
        <f>IF(L19="Compliant",1,IF(L19="Partially Compliant",0.5,IF(L19="Non-Compliant",0,"")))</f>
        <v/>
      </c>
      <c r="N19" s="33"/>
      <c r="O19" s="33"/>
      <c r="P19" s="33"/>
      <c r="Q19" s="31"/>
    </row>
    <row r="20" spans="8:8" ht="35.05">
      <c r="A20" s="30" t="s">
        <v>1397</v>
      </c>
      <c r="B20" s="30" t="s">
        <v>147</v>
      </c>
      <c r="C20" s="30" t="s">
        <v>148</v>
      </c>
      <c r="D20" s="30" t="s">
        <v>149</v>
      </c>
      <c r="E20" s="30" t="s">
        <v>1398</v>
      </c>
      <c r="F20" s="30" t="s">
        <v>151</v>
      </c>
      <c r="G20" s="33" t="s">
        <v>146</v>
      </c>
      <c r="H20" s="44">
        <f>$K$5</f>
        <v>46391.0</v>
      </c>
      <c r="I20" s="44">
        <f>$K$6</f>
        <v>46409.0</v>
      </c>
      <c r="J20" s="33"/>
      <c r="K20" s="33" t="s">
        <v>245</v>
      </c>
      <c r="L20" s="33"/>
      <c r="M20" s="45" t="str">
        <f>IF(L20="Compliant",1,IF(L20="Partially Compliant",0.5,IF(L20="Non-Compliant",0,"")))</f>
        <v/>
      </c>
      <c r="N20" s="33"/>
      <c r="O20" s="33"/>
      <c r="P20" s="33"/>
      <c r="Q20" s="31"/>
    </row>
    <row r="21" spans="8:8" ht="35.05">
      <c r="A21" s="30" t="s">
        <v>1399</v>
      </c>
      <c r="B21" s="30" t="s">
        <v>152</v>
      </c>
      <c r="C21" s="30" t="s">
        <v>153</v>
      </c>
      <c r="D21" s="30" t="s">
        <v>154</v>
      </c>
      <c r="E21" s="30" t="s">
        <v>155</v>
      </c>
      <c r="F21" s="30" t="s">
        <v>156</v>
      </c>
      <c r="G21" s="33" t="s">
        <v>146</v>
      </c>
      <c r="H21" s="44">
        <f>$K$5</f>
        <v>46391.0</v>
      </c>
      <c r="I21" s="44">
        <f>$K$6</f>
        <v>46409.0</v>
      </c>
      <c r="J21" s="33"/>
      <c r="K21" s="33" t="s">
        <v>245</v>
      </c>
      <c r="L21" s="33"/>
      <c r="M21" s="45" t="str">
        <f>IF(L21="Compliant",1,IF(L21="Partially Compliant",0.5,IF(L21="Non-Compliant",0,"")))</f>
        <v/>
      </c>
      <c r="N21" s="33"/>
      <c r="O21" s="33"/>
      <c r="P21" s="33"/>
      <c r="Q21" s="31"/>
    </row>
    <row r="22" spans="8:8" ht="35.05">
      <c r="A22" s="30" t="s">
        <v>1400</v>
      </c>
      <c r="B22" s="30" t="s">
        <v>157</v>
      </c>
      <c r="C22" s="30" t="s">
        <v>158</v>
      </c>
      <c r="D22" s="30" t="s">
        <v>159</v>
      </c>
      <c r="E22" s="30" t="s">
        <v>160</v>
      </c>
      <c r="F22" s="30" t="s">
        <v>161</v>
      </c>
      <c r="G22" s="33" t="s">
        <v>146</v>
      </c>
      <c r="H22" s="44">
        <f>$K$5</f>
        <v>46391.0</v>
      </c>
      <c r="I22" s="44">
        <f>$K$6</f>
        <v>46409.0</v>
      </c>
      <c r="J22" s="33"/>
      <c r="K22" s="33" t="s">
        <v>245</v>
      </c>
      <c r="L22" s="33"/>
      <c r="M22" s="45" t="str">
        <f>IF(L22="Compliant",1,IF(L22="Partially Compliant",0.5,IF(L22="Non-Compliant",0,"")))</f>
        <v/>
      </c>
      <c r="N22" s="33"/>
      <c r="O22" s="33"/>
      <c r="P22" s="33"/>
      <c r="Q22" s="31"/>
    </row>
    <row r="23" spans="8:8" ht="35.05">
      <c r="A23" s="30" t="s">
        <v>1401</v>
      </c>
      <c r="B23" s="30" t="s">
        <v>162</v>
      </c>
      <c r="C23" s="30" t="s">
        <v>163</v>
      </c>
      <c r="D23" s="30" t="s">
        <v>164</v>
      </c>
      <c r="E23" s="30" t="s">
        <v>1402</v>
      </c>
      <c r="F23" s="30" t="s">
        <v>166</v>
      </c>
      <c r="G23" s="33" t="s">
        <v>146</v>
      </c>
      <c r="H23" s="44">
        <f>$K$5</f>
        <v>46391.0</v>
      </c>
      <c r="I23" s="44">
        <f>$K$6</f>
        <v>46409.0</v>
      </c>
      <c r="J23" s="33"/>
      <c r="K23" s="33" t="s">
        <v>245</v>
      </c>
      <c r="L23" s="33"/>
      <c r="M23" s="45" t="str">
        <f>IF(L23="Compliant",1,IF(L23="Partially Compliant",0.5,IF(L23="Non-Compliant",0,"")))</f>
        <v/>
      </c>
      <c r="N23" s="33"/>
      <c r="O23" s="33"/>
      <c r="P23" s="33"/>
      <c r="Q23" s="31"/>
    </row>
    <row r="24" spans="8:8" ht="35.05">
      <c r="A24" s="30" t="s">
        <v>1403</v>
      </c>
      <c r="B24" s="30" t="s">
        <v>167</v>
      </c>
      <c r="C24" s="30" t="s">
        <v>168</v>
      </c>
      <c r="D24" s="30" t="s">
        <v>169</v>
      </c>
      <c r="E24" s="30" t="s">
        <v>1404</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1405</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35.05">
      <c r="A26" s="30" t="s">
        <v>1406</v>
      </c>
      <c r="B26" s="30" t="s">
        <v>177</v>
      </c>
      <c r="C26" s="30" t="s">
        <v>178</v>
      </c>
      <c r="D26" s="30" t="s">
        <v>1407</v>
      </c>
      <c r="E26" s="30" t="s">
        <v>1408</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1409</v>
      </c>
      <c r="B27" s="30" t="s">
        <v>182</v>
      </c>
      <c r="C27" s="30" t="s">
        <v>183</v>
      </c>
      <c r="D27" s="30" t="s">
        <v>184</v>
      </c>
      <c r="E27" s="30" t="s">
        <v>1410</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35.05">
      <c r="A28" s="30" t="s">
        <v>1411</v>
      </c>
      <c r="B28" s="30" t="s">
        <v>187</v>
      </c>
      <c r="C28" s="30" t="s">
        <v>188</v>
      </c>
      <c r="D28" s="30" t="s">
        <v>189</v>
      </c>
      <c r="E28" s="30" t="s">
        <v>1412</v>
      </c>
      <c r="F28" s="30" t="s">
        <v>191</v>
      </c>
      <c r="G28" s="33" t="s">
        <v>146</v>
      </c>
      <c r="H28" s="44">
        <f>$K$5</f>
        <v>46391.0</v>
      </c>
      <c r="I28" s="44">
        <f>$K$6</f>
        <v>46409.0</v>
      </c>
      <c r="J28" s="33"/>
      <c r="K28" s="33" t="s">
        <v>245</v>
      </c>
      <c r="L28" s="33"/>
      <c r="M28" s="45" t="str">
        <f>IF(L28="Compliant",1,IF(L28="Partially Compliant",0.5,IF(L28="Non-Compliant",0,"")))</f>
        <v/>
      </c>
      <c r="N28" s="33"/>
      <c r="O28" s="33"/>
      <c r="P28" s="33"/>
      <c r="Q28" s="31"/>
    </row>
    <row r="29" spans="8:8" ht="35.05">
      <c r="A29" s="30" t="s">
        <v>1413</v>
      </c>
      <c r="B29" s="30" t="s">
        <v>192</v>
      </c>
      <c r="C29" s="30" t="s">
        <v>193</v>
      </c>
      <c r="D29" s="30" t="s">
        <v>194</v>
      </c>
      <c r="E29" s="30" t="s">
        <v>1414</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1415</v>
      </c>
      <c r="B30" s="30" t="s">
        <v>197</v>
      </c>
      <c r="C30" s="30" t="s">
        <v>198</v>
      </c>
      <c r="D30" s="30" t="s">
        <v>199</v>
      </c>
      <c r="E30" s="30" t="s">
        <v>1416</v>
      </c>
      <c r="F30" s="30" t="s">
        <v>201</v>
      </c>
      <c r="G30" s="33" t="s">
        <v>146</v>
      </c>
      <c r="H30" s="44">
        <f>$K$5</f>
        <v>46391.0</v>
      </c>
      <c r="I30" s="44">
        <f>$K$6</f>
        <v>46409.0</v>
      </c>
      <c r="J30" s="33"/>
      <c r="K30" s="33" t="s">
        <v>245</v>
      </c>
      <c r="L30" s="33"/>
      <c r="M30" s="45" t="str">
        <f>IF(L30="Compliant",1,IF(L30="Partially Compliant",0.5,IF(L30="Non-Compliant",0,"")))</f>
        <v/>
      </c>
      <c r="N30" s="33"/>
      <c r="O30" s="33"/>
      <c r="P30" s="33"/>
      <c r="Q30" s="31"/>
    </row>
    <row r="31" spans="8:8" ht="35.05">
      <c r="A31" s="30" t="s">
        <v>1417</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1418</v>
      </c>
      <c r="B32" s="30" t="s">
        <v>208</v>
      </c>
      <c r="C32" s="30" t="s">
        <v>209</v>
      </c>
      <c r="D32" s="30" t="s">
        <v>210</v>
      </c>
      <c r="E32" s="30" t="s">
        <v>1419</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1420</v>
      </c>
      <c r="B33" s="30" t="s">
        <v>213</v>
      </c>
      <c r="C33" s="30" t="s">
        <v>214</v>
      </c>
      <c r="D33" s="30" t="s">
        <v>215</v>
      </c>
      <c r="E33" s="30" t="s">
        <v>1421</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23.85">
      <c r="A34" s="30" t="s">
        <v>1422</v>
      </c>
      <c r="B34" s="30" t="s">
        <v>218</v>
      </c>
      <c r="C34" s="30" t="s">
        <v>219</v>
      </c>
      <c r="D34" s="30" t="s">
        <v>220</v>
      </c>
      <c r="E34" s="30" t="s">
        <v>1423</v>
      </c>
      <c r="F34" s="30" t="s">
        <v>222</v>
      </c>
      <c r="G34" s="33" t="s">
        <v>146</v>
      </c>
      <c r="H34" s="44">
        <f>$K$5</f>
        <v>46391.0</v>
      </c>
      <c r="I34" s="44">
        <f>$K$6</f>
        <v>46409.0</v>
      </c>
      <c r="J34" s="33"/>
      <c r="K34" s="33" t="s">
        <v>245</v>
      </c>
      <c r="L34" s="33"/>
      <c r="M34" s="45" t="str">
        <f>IF(L34="Compliant",1,IF(L34="Partially Compliant",0.5,IF(L34="Non-Compliant",0,"")))</f>
        <v/>
      </c>
      <c r="N34" s="33"/>
      <c r="O34" s="33"/>
      <c r="P34" s="33"/>
      <c r="Q34" s="31"/>
    </row>
    <row r="35" spans="8:8" ht="23.85">
      <c r="A35" s="30" t="s">
        <v>1424</v>
      </c>
      <c r="B35" s="30" t="s">
        <v>223</v>
      </c>
      <c r="C35" s="30" t="s">
        <v>224</v>
      </c>
      <c r="D35" s="30" t="s">
        <v>225</v>
      </c>
      <c r="E35" s="30" t="s">
        <v>1425</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23.85">
      <c r="A36" s="30" t="s">
        <v>1426</v>
      </c>
      <c r="B36" s="30" t="s">
        <v>228</v>
      </c>
      <c r="C36" s="30" t="s">
        <v>229</v>
      </c>
      <c r="D36" s="30" t="s">
        <v>230</v>
      </c>
      <c r="E36" s="30" t="s">
        <v>1427</v>
      </c>
      <c r="F36" s="30" t="s">
        <v>232</v>
      </c>
      <c r="G36" s="33" t="s">
        <v>146</v>
      </c>
      <c r="H36" s="44">
        <f>$K$5</f>
        <v>46391.0</v>
      </c>
      <c r="I36" s="44">
        <f>$K$6</f>
        <v>46409.0</v>
      </c>
      <c r="J36" s="33"/>
      <c r="K36" s="33" t="s">
        <v>245</v>
      </c>
      <c r="L36" s="33"/>
      <c r="M36" s="45" t="str">
        <f>IF(L36="Compliant",1,IF(L36="Partially Compliant",0.5,IF(L36="Non-Compliant",0,"")))</f>
        <v/>
      </c>
      <c r="N36" s="33"/>
      <c r="O36" s="33"/>
      <c r="P36" s="33"/>
      <c r="Q36" s="31"/>
    </row>
    <row r="37" spans="8:8" ht="35.05">
      <c r="A37" s="30" t="s">
        <v>1428</v>
      </c>
      <c r="B37" s="43" t="s">
        <v>1429</v>
      </c>
      <c r="C37" s="30" t="s">
        <v>1430</v>
      </c>
      <c r="D37" s="30" t="s">
        <v>1431</v>
      </c>
      <c r="E37" s="30" t="s">
        <v>1432</v>
      </c>
      <c r="F37" s="30" t="s">
        <v>1433</v>
      </c>
      <c r="G37" s="33" t="s">
        <v>30</v>
      </c>
      <c r="H37" s="44">
        <f>$K$5</f>
        <v>46391.0</v>
      </c>
      <c r="I37" s="44">
        <f>$K$6</f>
        <v>46409.0</v>
      </c>
      <c r="J37" s="33"/>
      <c r="K37" s="33" t="s">
        <v>245</v>
      </c>
      <c r="L37" s="33"/>
      <c r="M37" s="45" t="str">
        <f>IF(L37="Compliant",1,IF(L37="Partially Compliant",0.5,IF(L37="Non-Compliant",0,"")))</f>
        <v/>
      </c>
      <c r="N37" s="33"/>
      <c r="O37" s="33"/>
      <c r="P37" s="33"/>
      <c r="Q37" s="31"/>
    </row>
    <row r="38" spans="8:8" ht="35.05">
      <c r="A38" s="30" t="s">
        <v>1434</v>
      </c>
      <c r="B38" s="43" t="s">
        <v>1435</v>
      </c>
      <c r="C38" s="30" t="s">
        <v>1436</v>
      </c>
      <c r="D38" s="30" t="s">
        <v>1437</v>
      </c>
      <c r="E38" s="30" t="s">
        <v>1438</v>
      </c>
      <c r="F38" s="30" t="s">
        <v>1439</v>
      </c>
      <c r="G38" s="33" t="s">
        <v>146</v>
      </c>
      <c r="H38" s="44">
        <f>$K$5</f>
        <v>46391.0</v>
      </c>
      <c r="I38" s="44">
        <f>$K$6</f>
        <v>46409.0</v>
      </c>
      <c r="J38" s="33"/>
      <c r="K38" s="33" t="s">
        <v>245</v>
      </c>
      <c r="L38" s="33"/>
      <c r="M38" s="45" t="str">
        <f>IF(L38="Compliant",1,IF(L38="Partially Compliant",0.5,IF(L38="Non-Compliant",0,"")))</f>
        <v/>
      </c>
      <c r="N38" s="33"/>
      <c r="O38" s="33"/>
      <c r="P38" s="33"/>
      <c r="Q38" s="31"/>
    </row>
    <row r="39" spans="8:8" ht="23.85">
      <c r="A39" s="30" t="s">
        <v>1440</v>
      </c>
      <c r="B39" s="43" t="s">
        <v>1441</v>
      </c>
      <c r="C39" s="30" t="s">
        <v>1442</v>
      </c>
      <c r="D39" s="30" t="s">
        <v>1443</v>
      </c>
      <c r="E39" s="30" t="s">
        <v>1444</v>
      </c>
      <c r="F39" s="30" t="s">
        <v>1445</v>
      </c>
      <c r="G39" s="33" t="s">
        <v>146</v>
      </c>
      <c r="H39" s="44">
        <f>$K$5</f>
        <v>46391.0</v>
      </c>
      <c r="I39" s="44">
        <f>$K$6</f>
        <v>46409.0</v>
      </c>
      <c r="J39" s="33"/>
      <c r="K39" s="33" t="s">
        <v>245</v>
      </c>
      <c r="L39" s="33"/>
      <c r="M39" s="45" t="str">
        <f>IF(L39="Compliant",1,IF(L39="Partially Compliant",0.5,IF(L39="Non-Compliant",0,"")))</f>
        <v/>
      </c>
      <c r="N39" s="33"/>
      <c r="O39" s="33"/>
      <c r="P39" s="33"/>
      <c r="Q39" s="31"/>
    </row>
    <row r="41" spans="8:8" ht="15.0">
      <c r="A41" s="27" t="s">
        <v>439</v>
      </c>
    </row>
  </sheetData>
  <autoFilter ref="A14:Q39">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9">
    <cfRule type="cellIs" operator="equal" priority="3" dxfId="71">
      <formula>"Partially Compliant"</formula>
    </cfRule>
    <cfRule type="cellIs" operator="equal" priority="4" dxfId="72">
      <formula>"Non-Compliant"</formula>
    </cfRule>
    <cfRule type="cellIs" operator="equal" priority="2" dxfId="73">
      <formula>"Compliant"</formula>
    </cfRule>
  </conditionalFormatting>
  <conditionalFormatting sqref="G15:G39">
    <cfRule type="cellIs" operator="equal" priority="5" dxfId="74">
      <formula>"High"</formula>
    </cfRule>
  </conditionalFormatting>
  <dataValidations count="4">
    <dataValidation allowBlank="1" type="list" errorStyle="stop" sqref="G15:G39">
      <formula1>"High,Medium,Low"</formula1>
      <formula2>0</formula2>
    </dataValidation>
    <dataValidation allowBlank="1" type="list" errorStyle="stop" sqref="K15:K39">
      <formula1>"Not Started,In Progress,Fieldwork Done,Reported,Completed"</formula1>
      <formula2>0</formula2>
    </dataValidation>
    <dataValidation allowBlank="1" type="list" errorStyle="stop" sqref="L15:L39">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3.xml><?xml version="1.0" encoding="utf-8"?>
<worksheet xmlns:r="http://schemas.openxmlformats.org/officeDocument/2006/relationships" xmlns="http://schemas.openxmlformats.org/spreadsheetml/2006/main">
  <sheetPr>
    <tabColor rgb="FF548235"/>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1446</v>
      </c>
      <c r="N1" s="34" t="s">
        <v>277</v>
      </c>
    </row>
    <row r="2" spans="8:8" ht="15.0">
      <c r="A2" s="12" t="s">
        <v>278</v>
      </c>
    </row>
    <row r="4" spans="8:8" ht="15.75" customHeight="1">
      <c r="A4" s="35" t="s">
        <v>59</v>
      </c>
      <c r="B4" s="35"/>
      <c r="C4" s="36" t="s">
        <v>92</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72</v>
      </c>
      <c r="D6" s="36"/>
      <c r="E6" s="36"/>
      <c r="F6" s="36"/>
      <c r="H6" s="35" t="s">
        <v>283</v>
      </c>
      <c r="I6" s="35"/>
      <c r="J6" s="35"/>
      <c r="K6" s="38">
        <v>46409.0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1447</v>
      </c>
      <c r="D8" s="36"/>
      <c r="E8" s="36"/>
      <c r="F8" s="36"/>
      <c r="H8" s="35" t="s">
        <v>34</v>
      </c>
      <c r="I8" s="35"/>
      <c r="J8" s="35"/>
      <c r="K8" s="40">
        <f>COUNTIF(K15:K38,"Completed")</f>
        <v>0.0</v>
      </c>
    </row>
    <row r="9" spans="8:8" ht="15.75" customHeight="1">
      <c r="A9" s="35" t="s">
        <v>287</v>
      </c>
      <c r="B9" s="35"/>
      <c r="C9" s="36" t="s">
        <v>1448</v>
      </c>
      <c r="D9" s="36"/>
      <c r="E9" s="36"/>
      <c r="F9" s="36"/>
      <c r="H9" s="35" t="s">
        <v>64</v>
      </c>
      <c r="I9" s="35"/>
      <c r="J9" s="35"/>
      <c r="K9" s="40">
        <f>COUNTIF(L15:L38,"Compliant")</f>
        <v>0.0</v>
      </c>
    </row>
    <row r="10" spans="8:8" ht="15.75" customHeight="1">
      <c r="A10" s="35" t="s">
        <v>289</v>
      </c>
      <c r="B10" s="35"/>
      <c r="C10" s="36" t="s">
        <v>1449</v>
      </c>
      <c r="D10" s="36"/>
      <c r="E10" s="36"/>
      <c r="F10" s="36"/>
      <c r="H10" s="35" t="s">
        <v>36</v>
      </c>
      <c r="I10" s="35"/>
      <c r="J10" s="35"/>
      <c r="K10" s="40">
        <f>COUNTIF(L15:L38,"Partially Compliant")</f>
        <v>0.0</v>
      </c>
    </row>
    <row r="11" spans="8:8" ht="15.75" customHeight="1">
      <c r="A11" s="35" t="s">
        <v>291</v>
      </c>
      <c r="B11" s="35"/>
      <c r="C11" s="39" t="s">
        <v>146</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1450</v>
      </c>
      <c r="B15" s="30" t="s">
        <v>122</v>
      </c>
      <c r="C15" s="30" t="s">
        <v>123</v>
      </c>
      <c r="D15" s="30" t="s">
        <v>124</v>
      </c>
      <c r="E15" s="30" t="s">
        <v>1451</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1452</v>
      </c>
      <c r="B16" s="30" t="s">
        <v>127</v>
      </c>
      <c r="C16" s="30" t="s">
        <v>128</v>
      </c>
      <c r="D16" s="30" t="s">
        <v>129</v>
      </c>
      <c r="E16" s="30" t="s">
        <v>1453</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1454</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1455</v>
      </c>
      <c r="B18" s="30" t="s">
        <v>28</v>
      </c>
      <c r="C18" s="30" t="s">
        <v>137</v>
      </c>
      <c r="D18" s="30" t="s">
        <v>138</v>
      </c>
      <c r="E18" s="30" t="s">
        <v>1456</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1457</v>
      </c>
      <c r="B19" s="30" t="s">
        <v>141</v>
      </c>
      <c r="C19" s="30" t="s">
        <v>142</v>
      </c>
      <c r="D19" s="30" t="s">
        <v>143</v>
      </c>
      <c r="E19" s="30" t="s">
        <v>1458</v>
      </c>
      <c r="F19" s="30" t="s">
        <v>145</v>
      </c>
      <c r="G19" s="33" t="s">
        <v>146</v>
      </c>
      <c r="H19" s="44">
        <f>$K$5</f>
        <v>46391.0</v>
      </c>
      <c r="I19" s="44">
        <f>$K$6</f>
        <v>46409.0</v>
      </c>
      <c r="J19" s="33"/>
      <c r="K19" s="33" t="s">
        <v>245</v>
      </c>
      <c r="L19" s="33"/>
      <c r="M19" s="45" t="str">
        <f>IF(L19="Compliant",1,IF(L19="Partially Compliant",0.5,IF(L19="Non-Compliant",0,"")))</f>
        <v/>
      </c>
      <c r="N19" s="33"/>
      <c r="O19" s="33"/>
      <c r="P19" s="33"/>
      <c r="Q19" s="31"/>
    </row>
    <row r="20" spans="8:8" ht="46.25">
      <c r="A20" s="30" t="s">
        <v>1459</v>
      </c>
      <c r="B20" s="30" t="s">
        <v>147</v>
      </c>
      <c r="C20" s="30" t="s">
        <v>148</v>
      </c>
      <c r="D20" s="30" t="s">
        <v>149</v>
      </c>
      <c r="E20" s="30" t="s">
        <v>1460</v>
      </c>
      <c r="F20" s="30" t="s">
        <v>151</v>
      </c>
      <c r="G20" s="33" t="s">
        <v>146</v>
      </c>
      <c r="H20" s="44">
        <f>$K$5</f>
        <v>46391.0</v>
      </c>
      <c r="I20" s="44">
        <f>$K$6</f>
        <v>46409.0</v>
      </c>
      <c r="J20" s="33"/>
      <c r="K20" s="33" t="s">
        <v>245</v>
      </c>
      <c r="L20" s="33"/>
      <c r="M20" s="45" t="str">
        <f>IF(L20="Compliant",1,IF(L20="Partially Compliant",0.5,IF(L20="Non-Compliant",0,"")))</f>
        <v/>
      </c>
      <c r="N20" s="33"/>
      <c r="O20" s="33"/>
      <c r="P20" s="33"/>
      <c r="Q20" s="31"/>
    </row>
    <row r="21" spans="8:8" ht="35.05">
      <c r="A21" s="30" t="s">
        <v>1461</v>
      </c>
      <c r="B21" s="30" t="s">
        <v>152</v>
      </c>
      <c r="C21" s="30" t="s">
        <v>153</v>
      </c>
      <c r="D21" s="30" t="s">
        <v>154</v>
      </c>
      <c r="E21" s="30" t="s">
        <v>155</v>
      </c>
      <c r="F21" s="30" t="s">
        <v>156</v>
      </c>
      <c r="G21" s="33" t="s">
        <v>146</v>
      </c>
      <c r="H21" s="44">
        <f>$K$5</f>
        <v>46391.0</v>
      </c>
      <c r="I21" s="44">
        <f>$K$6</f>
        <v>46409.0</v>
      </c>
      <c r="J21" s="33"/>
      <c r="K21" s="33" t="s">
        <v>245</v>
      </c>
      <c r="L21" s="33"/>
      <c r="M21" s="45" t="str">
        <f>IF(L21="Compliant",1,IF(L21="Partially Compliant",0.5,IF(L21="Non-Compliant",0,"")))</f>
        <v/>
      </c>
      <c r="N21" s="33"/>
      <c r="O21" s="33"/>
      <c r="P21" s="33"/>
      <c r="Q21" s="31"/>
    </row>
    <row r="22" spans="8:8" ht="35.05">
      <c r="A22" s="30" t="s">
        <v>1462</v>
      </c>
      <c r="B22" s="30" t="s">
        <v>157</v>
      </c>
      <c r="C22" s="30" t="s">
        <v>158</v>
      </c>
      <c r="D22" s="30" t="s">
        <v>159</v>
      </c>
      <c r="E22" s="30" t="s">
        <v>160</v>
      </c>
      <c r="F22" s="30" t="s">
        <v>161</v>
      </c>
      <c r="G22" s="33" t="s">
        <v>146</v>
      </c>
      <c r="H22" s="44">
        <f>$K$5</f>
        <v>46391.0</v>
      </c>
      <c r="I22" s="44">
        <f>$K$6</f>
        <v>46409.0</v>
      </c>
      <c r="J22" s="33"/>
      <c r="K22" s="33" t="s">
        <v>245</v>
      </c>
      <c r="L22" s="33"/>
      <c r="M22" s="45" t="str">
        <f>IF(L22="Compliant",1,IF(L22="Partially Compliant",0.5,IF(L22="Non-Compliant",0,"")))</f>
        <v/>
      </c>
      <c r="N22" s="33"/>
      <c r="O22" s="33"/>
      <c r="P22" s="33"/>
      <c r="Q22" s="31"/>
    </row>
    <row r="23" spans="8:8" ht="35.05">
      <c r="A23" s="30" t="s">
        <v>1463</v>
      </c>
      <c r="B23" s="30" t="s">
        <v>162</v>
      </c>
      <c r="C23" s="30" t="s">
        <v>163</v>
      </c>
      <c r="D23" s="30" t="s">
        <v>164</v>
      </c>
      <c r="E23" s="30" t="s">
        <v>1464</v>
      </c>
      <c r="F23" s="30" t="s">
        <v>166</v>
      </c>
      <c r="G23" s="33" t="s">
        <v>146</v>
      </c>
      <c r="H23" s="44">
        <f>$K$5</f>
        <v>46391.0</v>
      </c>
      <c r="I23" s="44">
        <f>$K$6</f>
        <v>46409.0</v>
      </c>
      <c r="J23" s="33"/>
      <c r="K23" s="33" t="s">
        <v>245</v>
      </c>
      <c r="L23" s="33"/>
      <c r="M23" s="45" t="str">
        <f>IF(L23="Compliant",1,IF(L23="Partially Compliant",0.5,IF(L23="Non-Compliant",0,"")))</f>
        <v/>
      </c>
      <c r="N23" s="33"/>
      <c r="O23" s="33"/>
      <c r="P23" s="33"/>
      <c r="Q23" s="31"/>
    </row>
    <row r="24" spans="8:8" ht="35.05">
      <c r="A24" s="30" t="s">
        <v>1465</v>
      </c>
      <c r="B24" s="30" t="s">
        <v>167</v>
      </c>
      <c r="C24" s="30" t="s">
        <v>168</v>
      </c>
      <c r="D24" s="30" t="s">
        <v>169</v>
      </c>
      <c r="E24" s="30" t="s">
        <v>1466</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1467</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35.05">
      <c r="A26" s="30" t="s">
        <v>1468</v>
      </c>
      <c r="B26" s="30" t="s">
        <v>177</v>
      </c>
      <c r="C26" s="30" t="s">
        <v>178</v>
      </c>
      <c r="D26" s="30" t="s">
        <v>1469</v>
      </c>
      <c r="E26" s="30" t="s">
        <v>1470</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1471</v>
      </c>
      <c r="B27" s="30" t="s">
        <v>182</v>
      </c>
      <c r="C27" s="30" t="s">
        <v>183</v>
      </c>
      <c r="D27" s="30" t="s">
        <v>184</v>
      </c>
      <c r="E27" s="30" t="s">
        <v>1472</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35.05">
      <c r="A28" s="30" t="s">
        <v>1473</v>
      </c>
      <c r="B28" s="30" t="s">
        <v>187</v>
      </c>
      <c r="C28" s="30" t="s">
        <v>188</v>
      </c>
      <c r="D28" s="30" t="s">
        <v>189</v>
      </c>
      <c r="E28" s="30" t="s">
        <v>1474</v>
      </c>
      <c r="F28" s="30" t="s">
        <v>191</v>
      </c>
      <c r="G28" s="33" t="s">
        <v>146</v>
      </c>
      <c r="H28" s="44">
        <f>$K$5</f>
        <v>46391.0</v>
      </c>
      <c r="I28" s="44">
        <f>$K$6</f>
        <v>46409.0</v>
      </c>
      <c r="J28" s="33"/>
      <c r="K28" s="33" t="s">
        <v>245</v>
      </c>
      <c r="L28" s="33"/>
      <c r="M28" s="45" t="str">
        <f>IF(L28="Compliant",1,IF(L28="Partially Compliant",0.5,IF(L28="Non-Compliant",0,"")))</f>
        <v/>
      </c>
      <c r="N28" s="33"/>
      <c r="O28" s="33"/>
      <c r="P28" s="33"/>
      <c r="Q28" s="31"/>
    </row>
    <row r="29" spans="8:8" ht="35.05">
      <c r="A29" s="30" t="s">
        <v>1475</v>
      </c>
      <c r="B29" s="30" t="s">
        <v>192</v>
      </c>
      <c r="C29" s="30" t="s">
        <v>193</v>
      </c>
      <c r="D29" s="30" t="s">
        <v>194</v>
      </c>
      <c r="E29" s="30" t="s">
        <v>1476</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1477</v>
      </c>
      <c r="B30" s="30" t="s">
        <v>197</v>
      </c>
      <c r="C30" s="30" t="s">
        <v>198</v>
      </c>
      <c r="D30" s="30" t="s">
        <v>199</v>
      </c>
      <c r="E30" s="30" t="s">
        <v>1478</v>
      </c>
      <c r="F30" s="30" t="s">
        <v>201</v>
      </c>
      <c r="G30" s="33" t="s">
        <v>146</v>
      </c>
      <c r="H30" s="44">
        <f>$K$5</f>
        <v>46391.0</v>
      </c>
      <c r="I30" s="44">
        <f>$K$6</f>
        <v>46409.0</v>
      </c>
      <c r="J30" s="33"/>
      <c r="K30" s="33" t="s">
        <v>245</v>
      </c>
      <c r="L30" s="33"/>
      <c r="M30" s="45" t="str">
        <f>IF(L30="Compliant",1,IF(L30="Partially Compliant",0.5,IF(L30="Non-Compliant",0,"")))</f>
        <v/>
      </c>
      <c r="N30" s="33"/>
      <c r="O30" s="33"/>
      <c r="P30" s="33"/>
      <c r="Q30" s="31"/>
    </row>
    <row r="31" spans="8:8" ht="35.05">
      <c r="A31" s="30" t="s">
        <v>1479</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1480</v>
      </c>
      <c r="B32" s="30" t="s">
        <v>208</v>
      </c>
      <c r="C32" s="30" t="s">
        <v>209</v>
      </c>
      <c r="D32" s="30" t="s">
        <v>210</v>
      </c>
      <c r="E32" s="30" t="s">
        <v>1481</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1482</v>
      </c>
      <c r="B33" s="30" t="s">
        <v>213</v>
      </c>
      <c r="C33" s="30" t="s">
        <v>214</v>
      </c>
      <c r="D33" s="30" t="s">
        <v>215</v>
      </c>
      <c r="E33" s="30" t="s">
        <v>1483</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23.85">
      <c r="A34" s="30" t="s">
        <v>1484</v>
      </c>
      <c r="B34" s="30" t="s">
        <v>218</v>
      </c>
      <c r="C34" s="30" t="s">
        <v>219</v>
      </c>
      <c r="D34" s="30" t="s">
        <v>220</v>
      </c>
      <c r="E34" s="30" t="s">
        <v>1485</v>
      </c>
      <c r="F34" s="30" t="s">
        <v>222</v>
      </c>
      <c r="G34" s="33" t="s">
        <v>146</v>
      </c>
      <c r="H34" s="44">
        <f>$K$5</f>
        <v>46391.0</v>
      </c>
      <c r="I34" s="44">
        <f>$K$6</f>
        <v>46409.0</v>
      </c>
      <c r="J34" s="33"/>
      <c r="K34" s="33" t="s">
        <v>245</v>
      </c>
      <c r="L34" s="33"/>
      <c r="M34" s="45" t="str">
        <f>IF(L34="Compliant",1,IF(L34="Partially Compliant",0.5,IF(L34="Non-Compliant",0,"")))</f>
        <v/>
      </c>
      <c r="N34" s="33"/>
      <c r="O34" s="33"/>
      <c r="P34" s="33"/>
      <c r="Q34" s="31"/>
    </row>
    <row r="35" spans="8:8" ht="35.05">
      <c r="A35" s="30" t="s">
        <v>1486</v>
      </c>
      <c r="B35" s="30" t="s">
        <v>223</v>
      </c>
      <c r="C35" s="30" t="s">
        <v>224</v>
      </c>
      <c r="D35" s="30" t="s">
        <v>225</v>
      </c>
      <c r="E35" s="30" t="s">
        <v>1487</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23.85">
      <c r="A36" s="30" t="s">
        <v>1488</v>
      </c>
      <c r="B36" s="30" t="s">
        <v>228</v>
      </c>
      <c r="C36" s="30" t="s">
        <v>229</v>
      </c>
      <c r="D36" s="30" t="s">
        <v>230</v>
      </c>
      <c r="E36" s="30" t="s">
        <v>1489</v>
      </c>
      <c r="F36" s="30" t="s">
        <v>232</v>
      </c>
      <c r="G36" s="33" t="s">
        <v>146</v>
      </c>
      <c r="H36" s="44">
        <f>$K$5</f>
        <v>46391.0</v>
      </c>
      <c r="I36" s="44">
        <f>$K$6</f>
        <v>46409.0</v>
      </c>
      <c r="J36" s="33"/>
      <c r="K36" s="33" t="s">
        <v>245</v>
      </c>
      <c r="L36" s="33"/>
      <c r="M36" s="45" t="str">
        <f>IF(L36="Compliant",1,IF(L36="Partially Compliant",0.5,IF(L36="Non-Compliant",0,"")))</f>
        <v/>
      </c>
      <c r="N36" s="33"/>
      <c r="O36" s="33"/>
      <c r="P36" s="33"/>
      <c r="Q36" s="31"/>
    </row>
    <row r="37" spans="8:8" ht="35.05">
      <c r="A37" s="30" t="s">
        <v>1490</v>
      </c>
      <c r="B37" s="43" t="s">
        <v>1491</v>
      </c>
      <c r="C37" s="30" t="s">
        <v>1492</v>
      </c>
      <c r="D37" s="30" t="s">
        <v>1493</v>
      </c>
      <c r="E37" s="30" t="s">
        <v>1494</v>
      </c>
      <c r="F37" s="30" t="s">
        <v>1495</v>
      </c>
      <c r="G37" s="33" t="s">
        <v>146</v>
      </c>
      <c r="H37" s="44">
        <f>$K$5</f>
        <v>46391.0</v>
      </c>
      <c r="I37" s="44">
        <f>$K$6</f>
        <v>46409.0</v>
      </c>
      <c r="J37" s="33"/>
      <c r="K37" s="33" t="s">
        <v>245</v>
      </c>
      <c r="L37" s="33"/>
      <c r="M37" s="45" t="str">
        <f>IF(L37="Compliant",1,IF(L37="Partially Compliant",0.5,IF(L37="Non-Compliant",0,"")))</f>
        <v/>
      </c>
      <c r="N37" s="33"/>
      <c r="O37" s="33"/>
      <c r="P37" s="33"/>
      <c r="Q37" s="31"/>
    </row>
    <row r="38" spans="8:8" ht="23.85">
      <c r="A38" s="30" t="s">
        <v>1496</v>
      </c>
      <c r="B38" s="43" t="s">
        <v>1497</v>
      </c>
      <c r="C38" s="30" t="s">
        <v>1498</v>
      </c>
      <c r="D38" s="30" t="s">
        <v>1499</v>
      </c>
      <c r="E38" s="30" t="s">
        <v>1500</v>
      </c>
      <c r="F38" s="30" t="s">
        <v>1501</v>
      </c>
      <c r="G38" s="33" t="s">
        <v>30</v>
      </c>
      <c r="H38" s="44">
        <f>$K$5</f>
        <v>46391.0</v>
      </c>
      <c r="I38" s="44">
        <f>$K$6</f>
        <v>46409.0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75">
      <formula>"Partially Compliant"</formula>
    </cfRule>
    <cfRule type="cellIs" operator="equal" priority="4" dxfId="76">
      <formula>"Non-Compliant"</formula>
    </cfRule>
    <cfRule type="cellIs" operator="equal" priority="2" dxfId="77">
      <formula>"Compliant"</formula>
    </cfRule>
  </conditionalFormatting>
  <conditionalFormatting sqref="G15:G38">
    <cfRule type="cellIs" operator="equal" priority="5" dxfId="78">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4.xml><?xml version="1.0" encoding="utf-8"?>
<worksheet xmlns:r="http://schemas.openxmlformats.org/officeDocument/2006/relationships" xmlns="http://schemas.openxmlformats.org/spreadsheetml/2006/main">
  <sheetPr>
    <tabColor rgb="FF548235"/>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1502</v>
      </c>
      <c r="N1" s="34" t="s">
        <v>277</v>
      </c>
    </row>
    <row r="2" spans="8:8" ht="15.0">
      <c r="A2" s="12" t="s">
        <v>278</v>
      </c>
    </row>
    <row r="4" spans="8:8" ht="15.75" customHeight="1">
      <c r="A4" s="35" t="s">
        <v>59</v>
      </c>
      <c r="B4" s="35"/>
      <c r="C4" s="36" t="s">
        <v>93</v>
      </c>
      <c r="D4" s="36"/>
      <c r="E4" s="36"/>
      <c r="F4" s="36"/>
      <c r="H4" s="35" t="s">
        <v>279</v>
      </c>
      <c r="I4" s="35"/>
      <c r="J4" s="35"/>
      <c r="K4" s="37" t="s">
        <v>280</v>
      </c>
    </row>
    <row r="5" spans="8:8" ht="15.75" customHeight="1">
      <c r="A5" s="35" t="s">
        <v>281</v>
      </c>
      <c r="B5" s="35"/>
      <c r="C5" s="36" t="s">
        <v>53</v>
      </c>
      <c r="D5" s="36"/>
      <c r="E5" s="36"/>
      <c r="F5" s="36"/>
      <c r="H5" s="35" t="s">
        <v>63</v>
      </c>
      <c r="I5" s="35"/>
      <c r="J5" s="35"/>
      <c r="K5" s="38">
        <v>46391.0</v>
      </c>
    </row>
    <row r="6" spans="8:8" ht="15.75" customHeight="1">
      <c r="A6" s="35" t="s">
        <v>282</v>
      </c>
      <c r="B6" s="35"/>
      <c r="C6" s="36" t="s">
        <v>72</v>
      </c>
      <c r="D6" s="36"/>
      <c r="E6" s="36"/>
      <c r="F6" s="36"/>
      <c r="H6" s="35" t="s">
        <v>283</v>
      </c>
      <c r="I6" s="35"/>
      <c r="J6" s="35"/>
      <c r="K6" s="38">
        <v>46409.0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1503</v>
      </c>
      <c r="D8" s="36"/>
      <c r="E8" s="36"/>
      <c r="F8" s="36"/>
      <c r="H8" s="35" t="s">
        <v>34</v>
      </c>
      <c r="I8" s="35"/>
      <c r="J8" s="35"/>
      <c r="K8" s="40">
        <f>COUNTIF(K15:K37,"Completed")</f>
        <v>0.0</v>
      </c>
    </row>
    <row r="9" spans="8:8" ht="15.75" customHeight="1">
      <c r="A9" s="35" t="s">
        <v>287</v>
      </c>
      <c r="B9" s="35"/>
      <c r="C9" s="36" t="s">
        <v>1504</v>
      </c>
      <c r="D9" s="36"/>
      <c r="E9" s="36"/>
      <c r="F9" s="36"/>
      <c r="H9" s="35" t="s">
        <v>64</v>
      </c>
      <c r="I9" s="35"/>
      <c r="J9" s="35"/>
      <c r="K9" s="40">
        <f>COUNTIF(L15:L37,"Compliant")</f>
        <v>0.0</v>
      </c>
    </row>
    <row r="10" spans="8:8" ht="15.75" customHeight="1">
      <c r="A10" s="35" t="s">
        <v>289</v>
      </c>
      <c r="B10" s="35"/>
      <c r="C10" s="36" t="s">
        <v>1505</v>
      </c>
      <c r="D10" s="36"/>
      <c r="E10" s="36"/>
      <c r="F10" s="36"/>
      <c r="H10" s="35" t="s">
        <v>36</v>
      </c>
      <c r="I10" s="35"/>
      <c r="J10" s="35"/>
      <c r="K10" s="40">
        <f>COUNTIF(L15:L37,"Partially Compliant")</f>
        <v>0.0</v>
      </c>
    </row>
    <row r="11" spans="8:8" ht="15.75" customHeight="1">
      <c r="A11" s="35" t="s">
        <v>291</v>
      </c>
      <c r="B11" s="35"/>
      <c r="C11" s="39" t="s">
        <v>146</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1506</v>
      </c>
      <c r="B15" s="30" t="s">
        <v>122</v>
      </c>
      <c r="C15" s="30" t="s">
        <v>123</v>
      </c>
      <c r="D15" s="30" t="s">
        <v>124</v>
      </c>
      <c r="E15" s="30" t="s">
        <v>1507</v>
      </c>
      <c r="F15" s="30" t="s">
        <v>126</v>
      </c>
      <c r="G15" s="33" t="s">
        <v>30</v>
      </c>
      <c r="H15" s="44">
        <f>$K$5</f>
        <v>46391.0</v>
      </c>
      <c r="I15" s="44">
        <f>$K$6</f>
        <v>46409.0</v>
      </c>
      <c r="J15" s="33"/>
      <c r="K15" s="33" t="s">
        <v>245</v>
      </c>
      <c r="L15" s="33"/>
      <c r="M15" s="45" t="str">
        <f>IF(L15="Compliant",1,IF(L15="Partially Compliant",0.5,IF(L15="Non-Compliant",0,"")))</f>
        <v/>
      </c>
      <c r="N15" s="33"/>
      <c r="O15" s="33"/>
      <c r="P15" s="33"/>
      <c r="Q15" s="31"/>
    </row>
    <row r="16" spans="8:8" ht="35.05">
      <c r="A16" s="30" t="s">
        <v>1508</v>
      </c>
      <c r="B16" s="30" t="s">
        <v>127</v>
      </c>
      <c r="C16" s="30" t="s">
        <v>128</v>
      </c>
      <c r="D16" s="30" t="s">
        <v>129</v>
      </c>
      <c r="E16" s="30" t="s">
        <v>1509</v>
      </c>
      <c r="F16" s="30" t="s">
        <v>131</v>
      </c>
      <c r="G16" s="33" t="s">
        <v>30</v>
      </c>
      <c r="H16" s="44">
        <f>$K$5</f>
        <v>46391.0</v>
      </c>
      <c r="I16" s="44">
        <f>$K$6</f>
        <v>46409.0</v>
      </c>
      <c r="J16" s="33"/>
      <c r="K16" s="33" t="s">
        <v>245</v>
      </c>
      <c r="L16" s="33"/>
      <c r="M16" s="45" t="str">
        <f>IF(L16="Compliant",1,IF(L16="Partially Compliant",0.5,IF(L16="Non-Compliant",0,"")))</f>
        <v/>
      </c>
      <c r="N16" s="33"/>
      <c r="O16" s="33"/>
      <c r="P16" s="33"/>
      <c r="Q16" s="31"/>
    </row>
    <row r="17" spans="8:8" ht="35.05">
      <c r="A17" s="30" t="s">
        <v>1510</v>
      </c>
      <c r="B17" s="30" t="s">
        <v>132</v>
      </c>
      <c r="C17" s="30" t="s">
        <v>133</v>
      </c>
      <c r="D17" s="30" t="s">
        <v>134</v>
      </c>
      <c r="E17" s="30" t="s">
        <v>135</v>
      </c>
      <c r="F17" s="30" t="s">
        <v>136</v>
      </c>
      <c r="G17" s="33" t="s">
        <v>30</v>
      </c>
      <c r="H17" s="44">
        <f>$K$5</f>
        <v>46391.0</v>
      </c>
      <c r="I17" s="44">
        <f>$K$6</f>
        <v>46409.0</v>
      </c>
      <c r="J17" s="33"/>
      <c r="K17" s="33" t="s">
        <v>245</v>
      </c>
      <c r="L17" s="33"/>
      <c r="M17" s="45" t="str">
        <f>IF(L17="Compliant",1,IF(L17="Partially Compliant",0.5,IF(L17="Non-Compliant",0,"")))</f>
        <v/>
      </c>
      <c r="N17" s="33"/>
      <c r="O17" s="33"/>
      <c r="P17" s="33"/>
      <c r="Q17" s="31"/>
    </row>
    <row r="18" spans="8:8" ht="57.45">
      <c r="A18" s="30" t="s">
        <v>1511</v>
      </c>
      <c r="B18" s="30" t="s">
        <v>28</v>
      </c>
      <c r="C18" s="30" t="s">
        <v>137</v>
      </c>
      <c r="D18" s="30" t="s">
        <v>138</v>
      </c>
      <c r="E18" s="30" t="s">
        <v>1512</v>
      </c>
      <c r="F18" s="30" t="s">
        <v>140</v>
      </c>
      <c r="G18" s="33" t="s">
        <v>30</v>
      </c>
      <c r="H18" s="44">
        <f>$K$5</f>
        <v>46391.0</v>
      </c>
      <c r="I18" s="44">
        <f>$K$6</f>
        <v>46409.0</v>
      </c>
      <c r="J18" s="33"/>
      <c r="K18" s="33" t="s">
        <v>245</v>
      </c>
      <c r="L18" s="33"/>
      <c r="M18" s="45" t="str">
        <f>IF(L18="Compliant",1,IF(L18="Partially Compliant",0.5,IF(L18="Non-Compliant",0,"")))</f>
        <v/>
      </c>
      <c r="N18" s="33"/>
      <c r="O18" s="33"/>
      <c r="P18" s="33"/>
      <c r="Q18" s="31"/>
    </row>
    <row r="19" spans="8:8" ht="35.05">
      <c r="A19" s="30" t="s">
        <v>1513</v>
      </c>
      <c r="B19" s="30" t="s">
        <v>141</v>
      </c>
      <c r="C19" s="30" t="s">
        <v>142</v>
      </c>
      <c r="D19" s="30" t="s">
        <v>143</v>
      </c>
      <c r="E19" s="30" t="s">
        <v>1514</v>
      </c>
      <c r="F19" s="30" t="s">
        <v>145</v>
      </c>
      <c r="G19" s="33" t="s">
        <v>146</v>
      </c>
      <c r="H19" s="44">
        <f>$K$5</f>
        <v>46391.0</v>
      </c>
      <c r="I19" s="44">
        <f>$K$6</f>
        <v>46409.0</v>
      </c>
      <c r="J19" s="33"/>
      <c r="K19" s="33" t="s">
        <v>245</v>
      </c>
      <c r="L19" s="33"/>
      <c r="M19" s="45" t="str">
        <f>IF(L19="Compliant",1,IF(L19="Partially Compliant",0.5,IF(L19="Non-Compliant",0,"")))</f>
        <v/>
      </c>
      <c r="N19" s="33"/>
      <c r="O19" s="33"/>
      <c r="P19" s="33"/>
      <c r="Q19" s="31"/>
    </row>
    <row r="20" spans="8:8" ht="35.05">
      <c r="A20" s="30" t="s">
        <v>1515</v>
      </c>
      <c r="B20" s="30" t="s">
        <v>147</v>
      </c>
      <c r="C20" s="30" t="s">
        <v>148</v>
      </c>
      <c r="D20" s="30" t="s">
        <v>149</v>
      </c>
      <c r="E20" s="30" t="s">
        <v>1516</v>
      </c>
      <c r="F20" s="30" t="s">
        <v>151</v>
      </c>
      <c r="G20" s="33" t="s">
        <v>146</v>
      </c>
      <c r="H20" s="44">
        <f>$K$5</f>
        <v>46391.0</v>
      </c>
      <c r="I20" s="44">
        <f>$K$6</f>
        <v>46409.0</v>
      </c>
      <c r="J20" s="33"/>
      <c r="K20" s="33" t="s">
        <v>245</v>
      </c>
      <c r="L20" s="33"/>
      <c r="M20" s="45" t="str">
        <f>IF(L20="Compliant",1,IF(L20="Partially Compliant",0.5,IF(L20="Non-Compliant",0,"")))</f>
        <v/>
      </c>
      <c r="N20" s="33"/>
      <c r="O20" s="33"/>
      <c r="P20" s="33"/>
      <c r="Q20" s="31"/>
    </row>
    <row r="21" spans="8:8" ht="35.05">
      <c r="A21" s="30" t="s">
        <v>1517</v>
      </c>
      <c r="B21" s="30" t="s">
        <v>152</v>
      </c>
      <c r="C21" s="30" t="s">
        <v>153</v>
      </c>
      <c r="D21" s="30" t="s">
        <v>154</v>
      </c>
      <c r="E21" s="30" t="s">
        <v>155</v>
      </c>
      <c r="F21" s="30" t="s">
        <v>156</v>
      </c>
      <c r="G21" s="33" t="s">
        <v>146</v>
      </c>
      <c r="H21" s="44">
        <f>$K$5</f>
        <v>46391.0</v>
      </c>
      <c r="I21" s="44">
        <f>$K$6</f>
        <v>46409.0</v>
      </c>
      <c r="J21" s="33"/>
      <c r="K21" s="33" t="s">
        <v>245</v>
      </c>
      <c r="L21" s="33"/>
      <c r="M21" s="45" t="str">
        <f>IF(L21="Compliant",1,IF(L21="Partially Compliant",0.5,IF(L21="Non-Compliant",0,"")))</f>
        <v/>
      </c>
      <c r="N21" s="33"/>
      <c r="O21" s="33"/>
      <c r="P21" s="33"/>
      <c r="Q21" s="31"/>
    </row>
    <row r="22" spans="8:8" ht="35.05">
      <c r="A22" s="30" t="s">
        <v>1518</v>
      </c>
      <c r="B22" s="30" t="s">
        <v>157</v>
      </c>
      <c r="C22" s="30" t="s">
        <v>158</v>
      </c>
      <c r="D22" s="30" t="s">
        <v>159</v>
      </c>
      <c r="E22" s="30" t="s">
        <v>160</v>
      </c>
      <c r="F22" s="30" t="s">
        <v>161</v>
      </c>
      <c r="G22" s="33" t="s">
        <v>146</v>
      </c>
      <c r="H22" s="44">
        <f>$K$5</f>
        <v>46391.0</v>
      </c>
      <c r="I22" s="44">
        <f>$K$6</f>
        <v>46409.0</v>
      </c>
      <c r="J22" s="33"/>
      <c r="K22" s="33" t="s">
        <v>245</v>
      </c>
      <c r="L22" s="33"/>
      <c r="M22" s="45" t="str">
        <f>IF(L22="Compliant",1,IF(L22="Partially Compliant",0.5,IF(L22="Non-Compliant",0,"")))</f>
        <v/>
      </c>
      <c r="N22" s="33"/>
      <c r="O22" s="33"/>
      <c r="P22" s="33"/>
      <c r="Q22" s="31"/>
    </row>
    <row r="23" spans="8:8" ht="35.05">
      <c r="A23" s="30" t="s">
        <v>1519</v>
      </c>
      <c r="B23" s="30" t="s">
        <v>162</v>
      </c>
      <c r="C23" s="30" t="s">
        <v>163</v>
      </c>
      <c r="D23" s="30" t="s">
        <v>164</v>
      </c>
      <c r="E23" s="30" t="s">
        <v>1520</v>
      </c>
      <c r="F23" s="30" t="s">
        <v>166</v>
      </c>
      <c r="G23" s="33" t="s">
        <v>146</v>
      </c>
      <c r="H23" s="44">
        <f>$K$5</f>
        <v>46391.0</v>
      </c>
      <c r="I23" s="44">
        <f>$K$6</f>
        <v>46409.0</v>
      </c>
      <c r="J23" s="33"/>
      <c r="K23" s="33" t="s">
        <v>245</v>
      </c>
      <c r="L23" s="33"/>
      <c r="M23" s="45" t="str">
        <f>IF(L23="Compliant",1,IF(L23="Partially Compliant",0.5,IF(L23="Non-Compliant",0,"")))</f>
        <v/>
      </c>
      <c r="N23" s="33"/>
      <c r="O23" s="33"/>
      <c r="P23" s="33"/>
      <c r="Q23" s="31"/>
    </row>
    <row r="24" spans="8:8" ht="35.05">
      <c r="A24" s="30" t="s">
        <v>1521</v>
      </c>
      <c r="B24" s="30" t="s">
        <v>167</v>
      </c>
      <c r="C24" s="30" t="s">
        <v>168</v>
      </c>
      <c r="D24" s="30" t="s">
        <v>169</v>
      </c>
      <c r="E24" s="30" t="s">
        <v>1522</v>
      </c>
      <c r="F24" s="30" t="s">
        <v>171</v>
      </c>
      <c r="G24" s="33" t="s">
        <v>30</v>
      </c>
      <c r="H24" s="44">
        <f>$K$5</f>
        <v>46391.0</v>
      </c>
      <c r="I24" s="44">
        <f>$K$6</f>
        <v>46409.0</v>
      </c>
      <c r="J24" s="33"/>
      <c r="K24" s="33" t="s">
        <v>245</v>
      </c>
      <c r="L24" s="33"/>
      <c r="M24" s="45" t="str">
        <f>IF(L24="Compliant",1,IF(L24="Partially Compliant",0.5,IF(L24="Non-Compliant",0,"")))</f>
        <v/>
      </c>
      <c r="N24" s="33"/>
      <c r="O24" s="33"/>
      <c r="P24" s="33"/>
      <c r="Q24" s="31"/>
    </row>
    <row r="25" spans="8:8" ht="35.05">
      <c r="A25" s="30" t="s">
        <v>1523</v>
      </c>
      <c r="B25" s="30" t="s">
        <v>172</v>
      </c>
      <c r="C25" s="30" t="s">
        <v>173</v>
      </c>
      <c r="D25" s="30" t="s">
        <v>174</v>
      </c>
      <c r="E25" s="30" t="s">
        <v>175</v>
      </c>
      <c r="F25" s="30" t="s">
        <v>176</v>
      </c>
      <c r="G25" s="33" t="s">
        <v>30</v>
      </c>
      <c r="H25" s="44">
        <f>$K$5</f>
        <v>46391.0</v>
      </c>
      <c r="I25" s="44">
        <f>$K$6</f>
        <v>46409.0</v>
      </c>
      <c r="J25" s="33"/>
      <c r="K25" s="33" t="s">
        <v>245</v>
      </c>
      <c r="L25" s="33"/>
      <c r="M25" s="45" t="str">
        <f>IF(L25="Compliant",1,IF(L25="Partially Compliant",0.5,IF(L25="Non-Compliant",0,"")))</f>
        <v/>
      </c>
      <c r="N25" s="33"/>
      <c r="O25" s="33"/>
      <c r="P25" s="33"/>
      <c r="Q25" s="31"/>
    </row>
    <row r="26" spans="8:8" ht="35.05">
      <c r="A26" s="30" t="s">
        <v>1524</v>
      </c>
      <c r="B26" s="30" t="s">
        <v>177</v>
      </c>
      <c r="C26" s="30" t="s">
        <v>178</v>
      </c>
      <c r="D26" s="30" t="s">
        <v>1525</v>
      </c>
      <c r="E26" s="30" t="s">
        <v>1526</v>
      </c>
      <c r="F26" s="30" t="s">
        <v>181</v>
      </c>
      <c r="G26" s="33" t="s">
        <v>30</v>
      </c>
      <c r="H26" s="44">
        <f>$K$5</f>
        <v>46391.0</v>
      </c>
      <c r="I26" s="44">
        <f>$K$6</f>
        <v>46409.0</v>
      </c>
      <c r="J26" s="33"/>
      <c r="K26" s="33" t="s">
        <v>245</v>
      </c>
      <c r="L26" s="33"/>
      <c r="M26" s="45" t="str">
        <f>IF(L26="Compliant",1,IF(L26="Partially Compliant",0.5,IF(L26="Non-Compliant",0,"")))</f>
        <v/>
      </c>
      <c r="N26" s="33"/>
      <c r="O26" s="33"/>
      <c r="P26" s="33"/>
      <c r="Q26" s="31"/>
    </row>
    <row r="27" spans="8:8" ht="35.05">
      <c r="A27" s="30" t="s">
        <v>1527</v>
      </c>
      <c r="B27" s="30" t="s">
        <v>182</v>
      </c>
      <c r="C27" s="30" t="s">
        <v>183</v>
      </c>
      <c r="D27" s="30" t="s">
        <v>184</v>
      </c>
      <c r="E27" s="30" t="s">
        <v>1528</v>
      </c>
      <c r="F27" s="30" t="s">
        <v>186</v>
      </c>
      <c r="G27" s="33" t="s">
        <v>30</v>
      </c>
      <c r="H27" s="44">
        <f>$K$5</f>
        <v>46391.0</v>
      </c>
      <c r="I27" s="44">
        <f>$K$6</f>
        <v>46409.0</v>
      </c>
      <c r="J27" s="33"/>
      <c r="K27" s="33" t="s">
        <v>245</v>
      </c>
      <c r="L27" s="33"/>
      <c r="M27" s="45" t="str">
        <f>IF(L27="Compliant",1,IF(L27="Partially Compliant",0.5,IF(L27="Non-Compliant",0,"")))</f>
        <v/>
      </c>
      <c r="N27" s="33"/>
      <c r="O27" s="33"/>
      <c r="P27" s="33"/>
      <c r="Q27" s="31"/>
    </row>
    <row r="28" spans="8:8" ht="35.05">
      <c r="A28" s="30" t="s">
        <v>1529</v>
      </c>
      <c r="B28" s="30" t="s">
        <v>187</v>
      </c>
      <c r="C28" s="30" t="s">
        <v>188</v>
      </c>
      <c r="D28" s="30" t="s">
        <v>189</v>
      </c>
      <c r="E28" s="30" t="s">
        <v>1530</v>
      </c>
      <c r="F28" s="30" t="s">
        <v>191</v>
      </c>
      <c r="G28" s="33" t="s">
        <v>146</v>
      </c>
      <c r="H28" s="44">
        <f>$K$5</f>
        <v>46391.0</v>
      </c>
      <c r="I28" s="44">
        <f>$K$6</f>
        <v>46409.0</v>
      </c>
      <c r="J28" s="33"/>
      <c r="K28" s="33" t="s">
        <v>245</v>
      </c>
      <c r="L28" s="33"/>
      <c r="M28" s="45" t="str">
        <f>IF(L28="Compliant",1,IF(L28="Partially Compliant",0.5,IF(L28="Non-Compliant",0,"")))</f>
        <v/>
      </c>
      <c r="N28" s="33"/>
      <c r="O28" s="33"/>
      <c r="P28" s="33"/>
      <c r="Q28" s="31"/>
    </row>
    <row r="29" spans="8:8" ht="35.05">
      <c r="A29" s="30" t="s">
        <v>1531</v>
      </c>
      <c r="B29" s="30" t="s">
        <v>192</v>
      </c>
      <c r="C29" s="30" t="s">
        <v>193</v>
      </c>
      <c r="D29" s="30" t="s">
        <v>194</v>
      </c>
      <c r="E29" s="30" t="s">
        <v>1532</v>
      </c>
      <c r="F29" s="30" t="s">
        <v>196</v>
      </c>
      <c r="G29" s="33" t="s">
        <v>30</v>
      </c>
      <c r="H29" s="44">
        <f>$K$5</f>
        <v>46391.0</v>
      </c>
      <c r="I29" s="44">
        <f>$K$6</f>
        <v>46409.0</v>
      </c>
      <c r="J29" s="33"/>
      <c r="K29" s="33" t="s">
        <v>245</v>
      </c>
      <c r="L29" s="33"/>
      <c r="M29" s="45" t="str">
        <f>IF(L29="Compliant",1,IF(L29="Partially Compliant",0.5,IF(L29="Non-Compliant",0,"")))</f>
        <v/>
      </c>
      <c r="N29" s="33"/>
      <c r="O29" s="33"/>
      <c r="P29" s="33"/>
      <c r="Q29" s="31"/>
    </row>
    <row r="30" spans="8:8" ht="35.05">
      <c r="A30" s="30" t="s">
        <v>1533</v>
      </c>
      <c r="B30" s="30" t="s">
        <v>197</v>
      </c>
      <c r="C30" s="30" t="s">
        <v>198</v>
      </c>
      <c r="D30" s="30" t="s">
        <v>199</v>
      </c>
      <c r="E30" s="30" t="s">
        <v>1534</v>
      </c>
      <c r="F30" s="30" t="s">
        <v>201</v>
      </c>
      <c r="G30" s="33" t="s">
        <v>146</v>
      </c>
      <c r="H30" s="44">
        <f>$K$5</f>
        <v>46391.0</v>
      </c>
      <c r="I30" s="44">
        <f>$K$6</f>
        <v>46409.0</v>
      </c>
      <c r="J30" s="33"/>
      <c r="K30" s="33" t="s">
        <v>245</v>
      </c>
      <c r="L30" s="33"/>
      <c r="M30" s="45" t="str">
        <f>IF(L30="Compliant",1,IF(L30="Partially Compliant",0.5,IF(L30="Non-Compliant",0,"")))</f>
        <v/>
      </c>
      <c r="N30" s="33"/>
      <c r="O30" s="33"/>
      <c r="P30" s="33"/>
      <c r="Q30" s="31"/>
    </row>
    <row r="31" spans="8:8" ht="35.05">
      <c r="A31" s="30" t="s">
        <v>1535</v>
      </c>
      <c r="B31" s="30" t="s">
        <v>202</v>
      </c>
      <c r="C31" s="30" t="s">
        <v>203</v>
      </c>
      <c r="D31" s="30" t="s">
        <v>204</v>
      </c>
      <c r="E31" s="30" t="s">
        <v>205</v>
      </c>
      <c r="F31" s="30" t="s">
        <v>206</v>
      </c>
      <c r="G31" s="33" t="s">
        <v>207</v>
      </c>
      <c r="H31" s="44">
        <f>$K$5</f>
        <v>46391.0</v>
      </c>
      <c r="I31" s="44">
        <f>$K$6</f>
        <v>46409.0</v>
      </c>
      <c r="J31" s="33"/>
      <c r="K31" s="33" t="s">
        <v>245</v>
      </c>
      <c r="L31" s="33"/>
      <c r="M31" s="45" t="str">
        <f>IF(L31="Compliant",1,IF(L31="Partially Compliant",0.5,IF(L31="Non-Compliant",0,"")))</f>
        <v/>
      </c>
      <c r="N31" s="33"/>
      <c r="O31" s="33"/>
      <c r="P31" s="33"/>
      <c r="Q31" s="31"/>
    </row>
    <row r="32" spans="8:8" ht="23.85">
      <c r="A32" s="30" t="s">
        <v>1536</v>
      </c>
      <c r="B32" s="30" t="s">
        <v>208</v>
      </c>
      <c r="C32" s="30" t="s">
        <v>209</v>
      </c>
      <c r="D32" s="30" t="s">
        <v>210</v>
      </c>
      <c r="E32" s="30" t="s">
        <v>1537</v>
      </c>
      <c r="F32" s="30" t="s">
        <v>212</v>
      </c>
      <c r="G32" s="33" t="s">
        <v>207</v>
      </c>
      <c r="H32" s="44">
        <f>$K$5</f>
        <v>46391.0</v>
      </c>
      <c r="I32" s="44">
        <f>$K$6</f>
        <v>46409.0</v>
      </c>
      <c r="J32" s="33"/>
      <c r="K32" s="33" t="s">
        <v>245</v>
      </c>
      <c r="L32" s="33"/>
      <c r="M32" s="45" t="str">
        <f>IF(L32="Compliant",1,IF(L32="Partially Compliant",0.5,IF(L32="Non-Compliant",0,"")))</f>
        <v/>
      </c>
      <c r="N32" s="33"/>
      <c r="O32" s="33"/>
      <c r="P32" s="33"/>
      <c r="Q32" s="31"/>
    </row>
    <row r="33" spans="8:8" ht="23.85">
      <c r="A33" s="30" t="s">
        <v>1538</v>
      </c>
      <c r="B33" s="30" t="s">
        <v>213</v>
      </c>
      <c r="C33" s="30" t="s">
        <v>214</v>
      </c>
      <c r="D33" s="30" t="s">
        <v>215</v>
      </c>
      <c r="E33" s="30" t="s">
        <v>1539</v>
      </c>
      <c r="F33" s="30" t="s">
        <v>217</v>
      </c>
      <c r="G33" s="33" t="s">
        <v>207</v>
      </c>
      <c r="H33" s="44">
        <f>$K$5</f>
        <v>46391.0</v>
      </c>
      <c r="I33" s="44">
        <f>$K$6</f>
        <v>46409.0</v>
      </c>
      <c r="J33" s="33"/>
      <c r="K33" s="33" t="s">
        <v>245</v>
      </c>
      <c r="L33" s="33"/>
      <c r="M33" s="45" t="str">
        <f>IF(L33="Compliant",1,IF(L33="Partially Compliant",0.5,IF(L33="Non-Compliant",0,"")))</f>
        <v/>
      </c>
      <c r="N33" s="33"/>
      <c r="O33" s="33"/>
      <c r="P33" s="33"/>
      <c r="Q33" s="31"/>
    </row>
    <row r="34" spans="8:8" ht="23.85">
      <c r="A34" s="30" t="s">
        <v>1540</v>
      </c>
      <c r="B34" s="30" t="s">
        <v>218</v>
      </c>
      <c r="C34" s="30" t="s">
        <v>219</v>
      </c>
      <c r="D34" s="30" t="s">
        <v>220</v>
      </c>
      <c r="E34" s="30" t="s">
        <v>1541</v>
      </c>
      <c r="F34" s="30" t="s">
        <v>222</v>
      </c>
      <c r="G34" s="33" t="s">
        <v>146</v>
      </c>
      <c r="H34" s="44">
        <f>$K$5</f>
        <v>46391.0</v>
      </c>
      <c r="I34" s="44">
        <f>$K$6</f>
        <v>46409.0</v>
      </c>
      <c r="J34" s="33"/>
      <c r="K34" s="33" t="s">
        <v>245</v>
      </c>
      <c r="L34" s="33"/>
      <c r="M34" s="45" t="str">
        <f>IF(L34="Compliant",1,IF(L34="Partially Compliant",0.5,IF(L34="Non-Compliant",0,"")))</f>
        <v/>
      </c>
      <c r="N34" s="33"/>
      <c r="O34" s="33"/>
      <c r="P34" s="33"/>
      <c r="Q34" s="31"/>
    </row>
    <row r="35" spans="8:8" ht="35.05">
      <c r="A35" s="30" t="s">
        <v>1542</v>
      </c>
      <c r="B35" s="30" t="s">
        <v>223</v>
      </c>
      <c r="C35" s="30" t="s">
        <v>224</v>
      </c>
      <c r="D35" s="30" t="s">
        <v>225</v>
      </c>
      <c r="E35" s="30" t="s">
        <v>1543</v>
      </c>
      <c r="F35" s="30" t="s">
        <v>227</v>
      </c>
      <c r="G35" s="33" t="s">
        <v>207</v>
      </c>
      <c r="H35" s="44">
        <f>$K$5</f>
        <v>46391.0</v>
      </c>
      <c r="I35" s="44">
        <f>$K$6</f>
        <v>46409.0</v>
      </c>
      <c r="J35" s="33"/>
      <c r="K35" s="33" t="s">
        <v>245</v>
      </c>
      <c r="L35" s="33"/>
      <c r="M35" s="45" t="str">
        <f>IF(L35="Compliant",1,IF(L35="Partially Compliant",0.5,IF(L35="Non-Compliant",0,"")))</f>
        <v/>
      </c>
      <c r="N35" s="33"/>
      <c r="O35" s="33"/>
      <c r="P35" s="33"/>
      <c r="Q35" s="31"/>
    </row>
    <row r="36" spans="8:8" ht="23.85">
      <c r="A36" s="30" t="s">
        <v>1544</v>
      </c>
      <c r="B36" s="30" t="s">
        <v>228</v>
      </c>
      <c r="C36" s="30" t="s">
        <v>229</v>
      </c>
      <c r="D36" s="30" t="s">
        <v>230</v>
      </c>
      <c r="E36" s="30" t="s">
        <v>1545</v>
      </c>
      <c r="F36" s="30" t="s">
        <v>232</v>
      </c>
      <c r="G36" s="33" t="s">
        <v>146</v>
      </c>
      <c r="H36" s="44">
        <f>$K$5</f>
        <v>46391.0</v>
      </c>
      <c r="I36" s="44">
        <f>$K$6</f>
        <v>46409.0</v>
      </c>
      <c r="J36" s="33"/>
      <c r="K36" s="33" t="s">
        <v>245</v>
      </c>
      <c r="L36" s="33"/>
      <c r="M36" s="45" t="str">
        <f>IF(L36="Compliant",1,IF(L36="Partially Compliant",0.5,IF(L36="Non-Compliant",0,"")))</f>
        <v/>
      </c>
      <c r="N36" s="33"/>
      <c r="O36" s="33"/>
      <c r="P36" s="33"/>
      <c r="Q36" s="31"/>
    </row>
    <row r="37" spans="8:8" ht="46.25">
      <c r="A37" s="30" t="s">
        <v>1546</v>
      </c>
      <c r="B37" s="43" t="s">
        <v>1547</v>
      </c>
      <c r="C37" s="30" t="s">
        <v>1548</v>
      </c>
      <c r="D37" s="30" t="s">
        <v>1549</v>
      </c>
      <c r="E37" s="30" t="s">
        <v>1550</v>
      </c>
      <c r="F37" s="30" t="s">
        <v>1551</v>
      </c>
      <c r="G37" s="33" t="s">
        <v>146</v>
      </c>
      <c r="H37" s="44">
        <f>$K$5</f>
        <v>46391.0</v>
      </c>
      <c r="I37" s="44">
        <f>$K$6</f>
        <v>46409.0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79">
      <formula>"Partially Compliant"</formula>
    </cfRule>
    <cfRule type="cellIs" operator="equal" priority="4" dxfId="80">
      <formula>"Non-Compliant"</formula>
    </cfRule>
    <cfRule type="cellIs" operator="equal" priority="2" dxfId="81">
      <formula>"Compliant"</formula>
    </cfRule>
  </conditionalFormatting>
  <conditionalFormatting sqref="G15:G37">
    <cfRule type="cellIs" operator="equal" priority="5" dxfId="82">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5.xml><?xml version="1.0" encoding="utf-8"?>
<worksheet xmlns:r="http://schemas.openxmlformats.org/officeDocument/2006/relationships" xmlns="http://schemas.openxmlformats.org/spreadsheetml/2006/main">
  <sheetPr>
    <tabColor rgb="FFC55A11"/>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1552</v>
      </c>
      <c r="N1" s="34" t="s">
        <v>277</v>
      </c>
    </row>
    <row r="2" spans="8:8" ht="15.0">
      <c r="A2" s="12" t="s">
        <v>278</v>
      </c>
    </row>
    <row r="4" spans="8:8" ht="15.75" customHeight="1">
      <c r="A4" s="35" t="s">
        <v>59</v>
      </c>
      <c r="B4" s="35"/>
      <c r="C4" s="36" t="s">
        <v>94</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1553</v>
      </c>
      <c r="D8" s="36"/>
      <c r="E8" s="36"/>
      <c r="F8" s="36"/>
      <c r="H8" s="35" t="s">
        <v>34</v>
      </c>
      <c r="I8" s="35"/>
      <c r="J8" s="35"/>
      <c r="K8" s="40">
        <f>COUNTIF(K15:K37,"Completed")</f>
        <v>0.0</v>
      </c>
    </row>
    <row r="9" spans="8:8" ht="15.75" customHeight="1">
      <c r="A9" s="35" t="s">
        <v>287</v>
      </c>
      <c r="B9" s="35"/>
      <c r="C9" s="36" t="s">
        <v>1554</v>
      </c>
      <c r="D9" s="36"/>
      <c r="E9" s="36"/>
      <c r="F9" s="36"/>
      <c r="H9" s="35" t="s">
        <v>64</v>
      </c>
      <c r="I9" s="35"/>
      <c r="J9" s="35"/>
      <c r="K9" s="40">
        <f>COUNTIF(L15:L37,"Compliant")</f>
        <v>0.0</v>
      </c>
    </row>
    <row r="10" spans="8:8" ht="15.75" customHeight="1">
      <c r="A10" s="35" t="s">
        <v>289</v>
      </c>
      <c r="B10" s="35"/>
      <c r="C10" s="36" t="s">
        <v>1555</v>
      </c>
      <c r="D10" s="36"/>
      <c r="E10" s="36"/>
      <c r="F10" s="36"/>
      <c r="H10" s="35" t="s">
        <v>36</v>
      </c>
      <c r="I10" s="35"/>
      <c r="J10" s="35"/>
      <c r="K10" s="40">
        <f>COUNTIF(L15:L37,"Partially Compliant")</f>
        <v>0.0</v>
      </c>
    </row>
    <row r="11" spans="8:8" ht="15.75" customHeight="1">
      <c r="A11" s="35" t="s">
        <v>291</v>
      </c>
      <c r="B11" s="35"/>
      <c r="C11" s="39" t="s">
        <v>146</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1556</v>
      </c>
      <c r="B15" s="30" t="s">
        <v>122</v>
      </c>
      <c r="C15" s="30" t="s">
        <v>123</v>
      </c>
      <c r="D15" s="30" t="s">
        <v>124</v>
      </c>
      <c r="E15" s="30" t="s">
        <v>1557</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1558</v>
      </c>
      <c r="B16" s="30" t="s">
        <v>127</v>
      </c>
      <c r="C16" s="30" t="s">
        <v>128</v>
      </c>
      <c r="D16" s="30" t="s">
        <v>129</v>
      </c>
      <c r="E16" s="30" t="s">
        <v>1559</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1560</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1561</v>
      </c>
      <c r="B18" s="30" t="s">
        <v>28</v>
      </c>
      <c r="C18" s="30" t="s">
        <v>137</v>
      </c>
      <c r="D18" s="30" t="s">
        <v>138</v>
      </c>
      <c r="E18" s="30" t="s">
        <v>1562</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1563</v>
      </c>
      <c r="B19" s="30" t="s">
        <v>141</v>
      </c>
      <c r="C19" s="30" t="s">
        <v>142</v>
      </c>
      <c r="D19" s="30" t="s">
        <v>143</v>
      </c>
      <c r="E19" s="30" t="s">
        <v>1564</v>
      </c>
      <c r="F19" s="30" t="s">
        <v>145</v>
      </c>
      <c r="G19" s="33" t="s">
        <v>146</v>
      </c>
      <c r="H19" s="44">
        <f>$K$5</f>
        <v>46412.0</v>
      </c>
      <c r="I19" s="44">
        <f>$K$6</f>
        <v>46430.0</v>
      </c>
      <c r="J19" s="33"/>
      <c r="K19" s="33" t="s">
        <v>245</v>
      </c>
      <c r="L19" s="33"/>
      <c r="M19" s="45" t="str">
        <f>IF(L19="Compliant",1,IF(L19="Partially Compliant",0.5,IF(L19="Non-Compliant",0,"")))</f>
        <v/>
      </c>
      <c r="N19" s="33"/>
      <c r="O19" s="33"/>
      <c r="P19" s="33"/>
      <c r="Q19" s="31"/>
    </row>
    <row r="20" spans="8:8" ht="46.25">
      <c r="A20" s="30" t="s">
        <v>1565</v>
      </c>
      <c r="B20" s="30" t="s">
        <v>147</v>
      </c>
      <c r="C20" s="30" t="s">
        <v>148</v>
      </c>
      <c r="D20" s="30" t="s">
        <v>149</v>
      </c>
      <c r="E20" s="30" t="s">
        <v>1566</v>
      </c>
      <c r="F20" s="30" t="s">
        <v>151</v>
      </c>
      <c r="G20" s="33" t="s">
        <v>146</v>
      </c>
      <c r="H20" s="44">
        <f>$K$5</f>
        <v>46412.0</v>
      </c>
      <c r="I20" s="44">
        <f>$K$6</f>
        <v>46430.0</v>
      </c>
      <c r="J20" s="33"/>
      <c r="K20" s="33" t="s">
        <v>245</v>
      </c>
      <c r="L20" s="33"/>
      <c r="M20" s="45" t="str">
        <f>IF(L20="Compliant",1,IF(L20="Partially Compliant",0.5,IF(L20="Non-Compliant",0,"")))</f>
        <v/>
      </c>
      <c r="N20" s="33"/>
      <c r="O20" s="33"/>
      <c r="P20" s="33"/>
      <c r="Q20" s="31"/>
    </row>
    <row r="21" spans="8:8" ht="35.05">
      <c r="A21" s="30" t="s">
        <v>1567</v>
      </c>
      <c r="B21" s="30" t="s">
        <v>152</v>
      </c>
      <c r="C21" s="30" t="s">
        <v>153</v>
      </c>
      <c r="D21" s="30" t="s">
        <v>154</v>
      </c>
      <c r="E21" s="30" t="s">
        <v>155</v>
      </c>
      <c r="F21" s="30" t="s">
        <v>156</v>
      </c>
      <c r="G21" s="33" t="s">
        <v>146</v>
      </c>
      <c r="H21" s="44">
        <f>$K$5</f>
        <v>46412.0</v>
      </c>
      <c r="I21" s="44">
        <f>$K$6</f>
        <v>46430.0</v>
      </c>
      <c r="J21" s="33"/>
      <c r="K21" s="33" t="s">
        <v>245</v>
      </c>
      <c r="L21" s="33"/>
      <c r="M21" s="45" t="str">
        <f>IF(L21="Compliant",1,IF(L21="Partially Compliant",0.5,IF(L21="Non-Compliant",0,"")))</f>
        <v/>
      </c>
      <c r="N21" s="33"/>
      <c r="O21" s="33"/>
      <c r="P21" s="33"/>
      <c r="Q21" s="31"/>
    </row>
    <row r="22" spans="8:8" ht="35.05">
      <c r="A22" s="30" t="s">
        <v>1568</v>
      </c>
      <c r="B22" s="30" t="s">
        <v>157</v>
      </c>
      <c r="C22" s="30" t="s">
        <v>158</v>
      </c>
      <c r="D22" s="30" t="s">
        <v>159</v>
      </c>
      <c r="E22" s="30" t="s">
        <v>160</v>
      </c>
      <c r="F22" s="30" t="s">
        <v>161</v>
      </c>
      <c r="G22" s="33" t="s">
        <v>146</v>
      </c>
      <c r="H22" s="44">
        <f>$K$5</f>
        <v>46412.0</v>
      </c>
      <c r="I22" s="44">
        <f>$K$6</f>
        <v>46430.0</v>
      </c>
      <c r="J22" s="33"/>
      <c r="K22" s="33" t="s">
        <v>245</v>
      </c>
      <c r="L22" s="33"/>
      <c r="M22" s="45" t="str">
        <f>IF(L22="Compliant",1,IF(L22="Partially Compliant",0.5,IF(L22="Non-Compliant",0,"")))</f>
        <v/>
      </c>
      <c r="N22" s="33"/>
      <c r="O22" s="33"/>
      <c r="P22" s="33"/>
      <c r="Q22" s="31"/>
    </row>
    <row r="23" spans="8:8" ht="35.05">
      <c r="A23" s="30" t="s">
        <v>1569</v>
      </c>
      <c r="B23" s="30" t="s">
        <v>162</v>
      </c>
      <c r="C23" s="30" t="s">
        <v>163</v>
      </c>
      <c r="D23" s="30" t="s">
        <v>164</v>
      </c>
      <c r="E23" s="30" t="s">
        <v>1570</v>
      </c>
      <c r="F23" s="30" t="s">
        <v>166</v>
      </c>
      <c r="G23" s="33" t="s">
        <v>146</v>
      </c>
      <c r="H23" s="44">
        <f>$K$5</f>
        <v>46412.0</v>
      </c>
      <c r="I23" s="44">
        <f>$K$6</f>
        <v>46430.0</v>
      </c>
      <c r="J23" s="33"/>
      <c r="K23" s="33" t="s">
        <v>245</v>
      </c>
      <c r="L23" s="33"/>
      <c r="M23" s="45" t="str">
        <f>IF(L23="Compliant",1,IF(L23="Partially Compliant",0.5,IF(L23="Non-Compliant",0,"")))</f>
        <v/>
      </c>
      <c r="N23" s="33"/>
      <c r="O23" s="33"/>
      <c r="P23" s="33"/>
      <c r="Q23" s="31"/>
    </row>
    <row r="24" spans="8:8" ht="35.05">
      <c r="A24" s="30" t="s">
        <v>1571</v>
      </c>
      <c r="B24" s="30" t="s">
        <v>167</v>
      </c>
      <c r="C24" s="30" t="s">
        <v>168</v>
      </c>
      <c r="D24" s="30" t="s">
        <v>169</v>
      </c>
      <c r="E24" s="30" t="s">
        <v>1572</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1573</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1574</v>
      </c>
      <c r="B26" s="30" t="s">
        <v>177</v>
      </c>
      <c r="C26" s="30" t="s">
        <v>178</v>
      </c>
      <c r="D26" s="30" t="s">
        <v>1575</v>
      </c>
      <c r="E26" s="30" t="s">
        <v>1576</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1577</v>
      </c>
      <c r="B27" s="30" t="s">
        <v>182</v>
      </c>
      <c r="C27" s="30" t="s">
        <v>183</v>
      </c>
      <c r="D27" s="30" t="s">
        <v>184</v>
      </c>
      <c r="E27" s="30" t="s">
        <v>1578</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1579</v>
      </c>
      <c r="B28" s="30" t="s">
        <v>187</v>
      </c>
      <c r="C28" s="30" t="s">
        <v>188</v>
      </c>
      <c r="D28" s="30" t="s">
        <v>189</v>
      </c>
      <c r="E28" s="30" t="s">
        <v>1580</v>
      </c>
      <c r="F28" s="30" t="s">
        <v>191</v>
      </c>
      <c r="G28" s="33" t="s">
        <v>146</v>
      </c>
      <c r="H28" s="44">
        <f>$K$5</f>
        <v>46412.0</v>
      </c>
      <c r="I28" s="44">
        <f>$K$6</f>
        <v>46430.0</v>
      </c>
      <c r="J28" s="33"/>
      <c r="K28" s="33" t="s">
        <v>245</v>
      </c>
      <c r="L28" s="33"/>
      <c r="M28" s="45" t="str">
        <f>IF(L28="Compliant",1,IF(L28="Partially Compliant",0.5,IF(L28="Non-Compliant",0,"")))</f>
        <v/>
      </c>
      <c r="N28" s="33"/>
      <c r="O28" s="33"/>
      <c r="P28" s="33"/>
      <c r="Q28" s="31"/>
    </row>
    <row r="29" spans="8:8" ht="35.05">
      <c r="A29" s="30" t="s">
        <v>1581</v>
      </c>
      <c r="B29" s="30" t="s">
        <v>192</v>
      </c>
      <c r="C29" s="30" t="s">
        <v>193</v>
      </c>
      <c r="D29" s="30" t="s">
        <v>194</v>
      </c>
      <c r="E29" s="30" t="s">
        <v>1582</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1583</v>
      </c>
      <c r="B30" s="30" t="s">
        <v>197</v>
      </c>
      <c r="C30" s="30" t="s">
        <v>198</v>
      </c>
      <c r="D30" s="30" t="s">
        <v>199</v>
      </c>
      <c r="E30" s="30" t="s">
        <v>1584</v>
      </c>
      <c r="F30" s="30" t="s">
        <v>201</v>
      </c>
      <c r="G30" s="33" t="s">
        <v>146</v>
      </c>
      <c r="H30" s="44">
        <f>$K$5</f>
        <v>46412.0</v>
      </c>
      <c r="I30" s="44">
        <f>$K$6</f>
        <v>46430.0</v>
      </c>
      <c r="J30" s="33"/>
      <c r="K30" s="33" t="s">
        <v>245</v>
      </c>
      <c r="L30" s="33"/>
      <c r="M30" s="45" t="str">
        <f>IF(L30="Compliant",1,IF(L30="Partially Compliant",0.5,IF(L30="Non-Compliant",0,"")))</f>
        <v/>
      </c>
      <c r="N30" s="33"/>
      <c r="O30" s="33"/>
      <c r="P30" s="33"/>
      <c r="Q30" s="31"/>
    </row>
    <row r="31" spans="8:8" ht="35.05">
      <c r="A31" s="30" t="s">
        <v>1585</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1586</v>
      </c>
      <c r="B32" s="30" t="s">
        <v>208</v>
      </c>
      <c r="C32" s="30" t="s">
        <v>209</v>
      </c>
      <c r="D32" s="30" t="s">
        <v>210</v>
      </c>
      <c r="E32" s="30" t="s">
        <v>1587</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1588</v>
      </c>
      <c r="B33" s="30" t="s">
        <v>213</v>
      </c>
      <c r="C33" s="30" t="s">
        <v>214</v>
      </c>
      <c r="D33" s="30" t="s">
        <v>215</v>
      </c>
      <c r="E33" s="30" t="s">
        <v>1589</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1590</v>
      </c>
      <c r="B34" s="30" t="s">
        <v>218</v>
      </c>
      <c r="C34" s="30" t="s">
        <v>219</v>
      </c>
      <c r="D34" s="30" t="s">
        <v>220</v>
      </c>
      <c r="E34" s="30" t="s">
        <v>1591</v>
      </c>
      <c r="F34" s="30" t="s">
        <v>222</v>
      </c>
      <c r="G34" s="33" t="s">
        <v>146</v>
      </c>
      <c r="H34" s="44">
        <f>$K$5</f>
        <v>46412.0</v>
      </c>
      <c r="I34" s="44">
        <f>$K$6</f>
        <v>46430.0</v>
      </c>
      <c r="J34" s="33"/>
      <c r="K34" s="33" t="s">
        <v>245</v>
      </c>
      <c r="L34" s="33"/>
      <c r="M34" s="45" t="str">
        <f>IF(L34="Compliant",1,IF(L34="Partially Compliant",0.5,IF(L34="Non-Compliant",0,"")))</f>
        <v/>
      </c>
      <c r="N34" s="33"/>
      <c r="O34" s="33"/>
      <c r="P34" s="33"/>
      <c r="Q34" s="31"/>
    </row>
    <row r="35" spans="8:8" ht="23.85">
      <c r="A35" s="30" t="s">
        <v>1592</v>
      </c>
      <c r="B35" s="30" t="s">
        <v>223</v>
      </c>
      <c r="C35" s="30" t="s">
        <v>224</v>
      </c>
      <c r="D35" s="30" t="s">
        <v>225</v>
      </c>
      <c r="E35" s="30" t="s">
        <v>1593</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1594</v>
      </c>
      <c r="B36" s="30" t="s">
        <v>228</v>
      </c>
      <c r="C36" s="30" t="s">
        <v>229</v>
      </c>
      <c r="D36" s="30" t="s">
        <v>230</v>
      </c>
      <c r="E36" s="30" t="s">
        <v>1595</v>
      </c>
      <c r="F36" s="30" t="s">
        <v>232</v>
      </c>
      <c r="G36" s="33" t="s">
        <v>146</v>
      </c>
      <c r="H36" s="44">
        <f>$K$5</f>
        <v>46412.0</v>
      </c>
      <c r="I36" s="44">
        <f>$K$6</f>
        <v>46430.0</v>
      </c>
      <c r="J36" s="33"/>
      <c r="K36" s="33" t="s">
        <v>245</v>
      </c>
      <c r="L36" s="33"/>
      <c r="M36" s="45" t="str">
        <f>IF(L36="Compliant",1,IF(L36="Partially Compliant",0.5,IF(L36="Non-Compliant",0,"")))</f>
        <v/>
      </c>
      <c r="N36" s="33"/>
      <c r="O36" s="33"/>
      <c r="P36" s="33"/>
      <c r="Q36" s="31"/>
    </row>
    <row r="37" spans="8:8" ht="35.05">
      <c r="A37" s="30" t="s">
        <v>1596</v>
      </c>
      <c r="B37" s="43" t="s">
        <v>1597</v>
      </c>
      <c r="C37" s="30" t="s">
        <v>1598</v>
      </c>
      <c r="D37" s="30" t="s">
        <v>1599</v>
      </c>
      <c r="E37" s="30" t="s">
        <v>1600</v>
      </c>
      <c r="F37" s="30" t="s">
        <v>1601</v>
      </c>
      <c r="G37" s="33" t="s">
        <v>146</v>
      </c>
      <c r="H37" s="44">
        <f>$K$5</f>
        <v>46412.0</v>
      </c>
      <c r="I37" s="44">
        <f>$K$6</f>
        <v>46430.0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83">
      <formula>"Partially Compliant"</formula>
    </cfRule>
    <cfRule type="cellIs" operator="equal" priority="4" dxfId="84">
      <formula>"Non-Compliant"</formula>
    </cfRule>
    <cfRule type="cellIs" operator="equal" priority="2" dxfId="85">
      <formula>"Compliant"</formula>
    </cfRule>
  </conditionalFormatting>
  <conditionalFormatting sqref="G15:G37">
    <cfRule type="cellIs" operator="equal" priority="5" dxfId="86">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6.xml><?xml version="1.0" encoding="utf-8"?>
<worksheet xmlns:r="http://schemas.openxmlformats.org/officeDocument/2006/relationships" xmlns="http://schemas.openxmlformats.org/spreadsheetml/2006/main">
  <sheetPr>
    <tabColor rgb="FFC55A11"/>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1602</v>
      </c>
      <c r="N1" s="34" t="s">
        <v>277</v>
      </c>
    </row>
    <row r="2" spans="8:8" ht="15.0">
      <c r="A2" s="12" t="s">
        <v>278</v>
      </c>
    </row>
    <row r="4" spans="8:8" ht="15.75" customHeight="1">
      <c r="A4" s="35" t="s">
        <v>59</v>
      </c>
      <c r="B4" s="35"/>
      <c r="C4" s="36" t="s">
        <v>95</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1603</v>
      </c>
      <c r="D8" s="36"/>
      <c r="E8" s="36"/>
      <c r="F8" s="36"/>
      <c r="H8" s="35" t="s">
        <v>34</v>
      </c>
      <c r="I8" s="35"/>
      <c r="J8" s="35"/>
      <c r="K8" s="40">
        <f>COUNTIF(K15:K38,"Completed")</f>
        <v>0.0</v>
      </c>
    </row>
    <row r="9" spans="8:8" ht="15.75" customHeight="1">
      <c r="A9" s="35" t="s">
        <v>287</v>
      </c>
      <c r="B9" s="35"/>
      <c r="C9" s="36" t="s">
        <v>1604</v>
      </c>
      <c r="D9" s="36"/>
      <c r="E9" s="36"/>
      <c r="F9" s="36"/>
      <c r="H9" s="35" t="s">
        <v>64</v>
      </c>
      <c r="I9" s="35"/>
      <c r="J9" s="35"/>
      <c r="K9" s="40">
        <f>COUNTIF(L15:L38,"Compliant")</f>
        <v>0.0</v>
      </c>
    </row>
    <row r="10" spans="8:8" ht="15.75" customHeight="1">
      <c r="A10" s="35" t="s">
        <v>289</v>
      </c>
      <c r="B10" s="35"/>
      <c r="C10" s="36" t="s">
        <v>1605</v>
      </c>
      <c r="D10" s="36"/>
      <c r="E10" s="36"/>
      <c r="F10" s="36"/>
      <c r="H10" s="35" t="s">
        <v>36</v>
      </c>
      <c r="I10" s="35"/>
      <c r="J10" s="35"/>
      <c r="K10" s="40">
        <f>COUNTIF(L15:L38,"Partially Compliant")</f>
        <v>0.0</v>
      </c>
    </row>
    <row r="11" spans="8:8" ht="15.75" customHeight="1">
      <c r="A11" s="35" t="s">
        <v>291</v>
      </c>
      <c r="B11" s="35"/>
      <c r="C11" s="39" t="s">
        <v>30</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1606</v>
      </c>
      <c r="B15" s="30" t="s">
        <v>122</v>
      </c>
      <c r="C15" s="30" t="s">
        <v>123</v>
      </c>
      <c r="D15" s="30" t="s">
        <v>124</v>
      </c>
      <c r="E15" s="30" t="s">
        <v>1607</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1608</v>
      </c>
      <c r="B16" s="30" t="s">
        <v>127</v>
      </c>
      <c r="C16" s="30" t="s">
        <v>128</v>
      </c>
      <c r="D16" s="30" t="s">
        <v>129</v>
      </c>
      <c r="E16" s="30" t="s">
        <v>1609</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1610</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1611</v>
      </c>
      <c r="B18" s="30" t="s">
        <v>28</v>
      </c>
      <c r="C18" s="30" t="s">
        <v>137</v>
      </c>
      <c r="D18" s="30" t="s">
        <v>138</v>
      </c>
      <c r="E18" s="30" t="s">
        <v>1612</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1613</v>
      </c>
      <c r="B19" s="30" t="s">
        <v>141</v>
      </c>
      <c r="C19" s="30" t="s">
        <v>142</v>
      </c>
      <c r="D19" s="30" t="s">
        <v>143</v>
      </c>
      <c r="E19" s="30" t="s">
        <v>1614</v>
      </c>
      <c r="F19" s="30" t="s">
        <v>145</v>
      </c>
      <c r="G19" s="33" t="s">
        <v>30</v>
      </c>
      <c r="H19" s="44">
        <f>$K$5</f>
        <v>46412.0</v>
      </c>
      <c r="I19" s="44">
        <f>$K$6</f>
        <v>46430.0</v>
      </c>
      <c r="J19" s="33"/>
      <c r="K19" s="33" t="s">
        <v>245</v>
      </c>
      <c r="L19" s="33"/>
      <c r="M19" s="45" t="str">
        <f>IF(L19="Compliant",1,IF(L19="Partially Compliant",0.5,IF(L19="Non-Compliant",0,"")))</f>
        <v/>
      </c>
      <c r="N19" s="33"/>
      <c r="O19" s="33"/>
      <c r="P19" s="33"/>
      <c r="Q19" s="31"/>
    </row>
    <row r="20" spans="8:8" ht="35.05">
      <c r="A20" s="30" t="s">
        <v>1615</v>
      </c>
      <c r="B20" s="30" t="s">
        <v>147</v>
      </c>
      <c r="C20" s="30" t="s">
        <v>148</v>
      </c>
      <c r="D20" s="30" t="s">
        <v>149</v>
      </c>
      <c r="E20" s="30" t="s">
        <v>1616</v>
      </c>
      <c r="F20" s="30" t="s">
        <v>151</v>
      </c>
      <c r="G20" s="33" t="s">
        <v>30</v>
      </c>
      <c r="H20" s="44">
        <f>$K$5</f>
        <v>46412.0</v>
      </c>
      <c r="I20" s="44">
        <f>$K$6</f>
        <v>46430.0</v>
      </c>
      <c r="J20" s="33"/>
      <c r="K20" s="33" t="s">
        <v>245</v>
      </c>
      <c r="L20" s="33"/>
      <c r="M20" s="45" t="str">
        <f>IF(L20="Compliant",1,IF(L20="Partially Compliant",0.5,IF(L20="Non-Compliant",0,"")))</f>
        <v/>
      </c>
      <c r="N20" s="33"/>
      <c r="O20" s="33"/>
      <c r="P20" s="33"/>
      <c r="Q20" s="31"/>
    </row>
    <row r="21" spans="8:8" ht="35.05">
      <c r="A21" s="30" t="s">
        <v>1617</v>
      </c>
      <c r="B21" s="30" t="s">
        <v>152</v>
      </c>
      <c r="C21" s="30" t="s">
        <v>153</v>
      </c>
      <c r="D21" s="30" t="s">
        <v>154</v>
      </c>
      <c r="E21" s="30" t="s">
        <v>155</v>
      </c>
      <c r="F21" s="30" t="s">
        <v>156</v>
      </c>
      <c r="G21" s="33" t="s">
        <v>30</v>
      </c>
      <c r="H21" s="44">
        <f>$K$5</f>
        <v>46412.0</v>
      </c>
      <c r="I21" s="44">
        <f>$K$6</f>
        <v>46430.0</v>
      </c>
      <c r="J21" s="33"/>
      <c r="K21" s="33" t="s">
        <v>245</v>
      </c>
      <c r="L21" s="33"/>
      <c r="M21" s="45" t="str">
        <f>IF(L21="Compliant",1,IF(L21="Partially Compliant",0.5,IF(L21="Non-Compliant",0,"")))</f>
        <v/>
      </c>
      <c r="N21" s="33"/>
      <c r="O21" s="33"/>
      <c r="P21" s="33"/>
      <c r="Q21" s="31"/>
    </row>
    <row r="22" spans="8:8" ht="35.05">
      <c r="A22" s="30" t="s">
        <v>1618</v>
      </c>
      <c r="B22" s="30" t="s">
        <v>157</v>
      </c>
      <c r="C22" s="30" t="s">
        <v>158</v>
      </c>
      <c r="D22" s="30" t="s">
        <v>159</v>
      </c>
      <c r="E22" s="30" t="s">
        <v>160</v>
      </c>
      <c r="F22" s="30" t="s">
        <v>161</v>
      </c>
      <c r="G22" s="33" t="s">
        <v>30</v>
      </c>
      <c r="H22" s="44">
        <f>$K$5</f>
        <v>46412.0</v>
      </c>
      <c r="I22" s="44">
        <f>$K$6</f>
        <v>46430.0</v>
      </c>
      <c r="J22" s="33"/>
      <c r="K22" s="33" t="s">
        <v>245</v>
      </c>
      <c r="L22" s="33"/>
      <c r="M22" s="45" t="str">
        <f>IF(L22="Compliant",1,IF(L22="Partially Compliant",0.5,IF(L22="Non-Compliant",0,"")))</f>
        <v/>
      </c>
      <c r="N22" s="33"/>
      <c r="O22" s="33"/>
      <c r="P22" s="33"/>
      <c r="Q22" s="31"/>
    </row>
    <row r="23" spans="8:8" ht="35.05">
      <c r="A23" s="30" t="s">
        <v>1619</v>
      </c>
      <c r="B23" s="30" t="s">
        <v>162</v>
      </c>
      <c r="C23" s="30" t="s">
        <v>163</v>
      </c>
      <c r="D23" s="30" t="s">
        <v>164</v>
      </c>
      <c r="E23" s="30" t="s">
        <v>1620</v>
      </c>
      <c r="F23" s="30" t="s">
        <v>166</v>
      </c>
      <c r="G23" s="33" t="s">
        <v>30</v>
      </c>
      <c r="H23" s="44">
        <f>$K$5</f>
        <v>46412.0</v>
      </c>
      <c r="I23" s="44">
        <f>$K$6</f>
        <v>46430.0</v>
      </c>
      <c r="J23" s="33"/>
      <c r="K23" s="33" t="s">
        <v>245</v>
      </c>
      <c r="L23" s="33"/>
      <c r="M23" s="45" t="str">
        <f>IF(L23="Compliant",1,IF(L23="Partially Compliant",0.5,IF(L23="Non-Compliant",0,"")))</f>
        <v/>
      </c>
      <c r="N23" s="33"/>
      <c r="O23" s="33"/>
      <c r="P23" s="33"/>
      <c r="Q23" s="31"/>
    </row>
    <row r="24" spans="8:8" ht="35.05">
      <c r="A24" s="30" t="s">
        <v>1621</v>
      </c>
      <c r="B24" s="30" t="s">
        <v>167</v>
      </c>
      <c r="C24" s="30" t="s">
        <v>168</v>
      </c>
      <c r="D24" s="30" t="s">
        <v>169</v>
      </c>
      <c r="E24" s="30" t="s">
        <v>1622</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1623</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1624</v>
      </c>
      <c r="B26" s="30" t="s">
        <v>177</v>
      </c>
      <c r="C26" s="30" t="s">
        <v>178</v>
      </c>
      <c r="D26" s="30" t="s">
        <v>1625</v>
      </c>
      <c r="E26" s="30" t="s">
        <v>1626</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1627</v>
      </c>
      <c r="B27" s="30" t="s">
        <v>182</v>
      </c>
      <c r="C27" s="30" t="s">
        <v>183</v>
      </c>
      <c r="D27" s="30" t="s">
        <v>184</v>
      </c>
      <c r="E27" s="30" t="s">
        <v>1628</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1629</v>
      </c>
      <c r="B28" s="30" t="s">
        <v>187</v>
      </c>
      <c r="C28" s="30" t="s">
        <v>188</v>
      </c>
      <c r="D28" s="30" t="s">
        <v>189</v>
      </c>
      <c r="E28" s="30" t="s">
        <v>1630</v>
      </c>
      <c r="F28" s="30" t="s">
        <v>191</v>
      </c>
      <c r="G28" s="33" t="s">
        <v>30</v>
      </c>
      <c r="H28" s="44">
        <f>$K$5</f>
        <v>46412.0</v>
      </c>
      <c r="I28" s="44">
        <f>$K$6</f>
        <v>46430.0</v>
      </c>
      <c r="J28" s="33"/>
      <c r="K28" s="33" t="s">
        <v>245</v>
      </c>
      <c r="L28" s="33"/>
      <c r="M28" s="45" t="str">
        <f>IF(L28="Compliant",1,IF(L28="Partially Compliant",0.5,IF(L28="Non-Compliant",0,"")))</f>
        <v/>
      </c>
      <c r="N28" s="33"/>
      <c r="O28" s="33"/>
      <c r="P28" s="33"/>
      <c r="Q28" s="31"/>
    </row>
    <row r="29" spans="8:8" ht="35.05">
      <c r="A29" s="30" t="s">
        <v>1631</v>
      </c>
      <c r="B29" s="30" t="s">
        <v>192</v>
      </c>
      <c r="C29" s="30" t="s">
        <v>193</v>
      </c>
      <c r="D29" s="30" t="s">
        <v>194</v>
      </c>
      <c r="E29" s="30" t="s">
        <v>1632</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1633</v>
      </c>
      <c r="B30" s="30" t="s">
        <v>197</v>
      </c>
      <c r="C30" s="30" t="s">
        <v>198</v>
      </c>
      <c r="D30" s="30" t="s">
        <v>199</v>
      </c>
      <c r="E30" s="30" t="s">
        <v>1634</v>
      </c>
      <c r="F30" s="30" t="s">
        <v>201</v>
      </c>
      <c r="G30" s="33" t="s">
        <v>30</v>
      </c>
      <c r="H30" s="44">
        <f>$K$5</f>
        <v>46412.0</v>
      </c>
      <c r="I30" s="44">
        <f>$K$6</f>
        <v>46430.0</v>
      </c>
      <c r="J30" s="33"/>
      <c r="K30" s="33" t="s">
        <v>245</v>
      </c>
      <c r="L30" s="33"/>
      <c r="M30" s="45" t="str">
        <f>IF(L30="Compliant",1,IF(L30="Partially Compliant",0.5,IF(L30="Non-Compliant",0,"")))</f>
        <v/>
      </c>
      <c r="N30" s="33"/>
      <c r="O30" s="33"/>
      <c r="P30" s="33"/>
      <c r="Q30" s="31"/>
    </row>
    <row r="31" spans="8:8" ht="35.05">
      <c r="A31" s="30" t="s">
        <v>1635</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1636</v>
      </c>
      <c r="B32" s="30" t="s">
        <v>208</v>
      </c>
      <c r="C32" s="30" t="s">
        <v>209</v>
      </c>
      <c r="D32" s="30" t="s">
        <v>210</v>
      </c>
      <c r="E32" s="30" t="s">
        <v>1637</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1638</v>
      </c>
      <c r="B33" s="30" t="s">
        <v>213</v>
      </c>
      <c r="C33" s="30" t="s">
        <v>214</v>
      </c>
      <c r="D33" s="30" t="s">
        <v>215</v>
      </c>
      <c r="E33" s="30" t="s">
        <v>1639</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1640</v>
      </c>
      <c r="B34" s="30" t="s">
        <v>218</v>
      </c>
      <c r="C34" s="30" t="s">
        <v>219</v>
      </c>
      <c r="D34" s="30" t="s">
        <v>220</v>
      </c>
      <c r="E34" s="30" t="s">
        <v>1641</v>
      </c>
      <c r="F34" s="30" t="s">
        <v>222</v>
      </c>
      <c r="G34" s="33" t="s">
        <v>30</v>
      </c>
      <c r="H34" s="44">
        <f>$K$5</f>
        <v>46412.0</v>
      </c>
      <c r="I34" s="44">
        <f>$K$6</f>
        <v>46430.0</v>
      </c>
      <c r="J34" s="33"/>
      <c r="K34" s="33" t="s">
        <v>245</v>
      </c>
      <c r="L34" s="33"/>
      <c r="M34" s="45" t="str">
        <f>IF(L34="Compliant",1,IF(L34="Partially Compliant",0.5,IF(L34="Non-Compliant",0,"")))</f>
        <v/>
      </c>
      <c r="N34" s="33"/>
      <c r="O34" s="33"/>
      <c r="P34" s="33"/>
      <c r="Q34" s="31"/>
    </row>
    <row r="35" spans="8:8" ht="35.05">
      <c r="A35" s="30" t="s">
        <v>1642</v>
      </c>
      <c r="B35" s="30" t="s">
        <v>223</v>
      </c>
      <c r="C35" s="30" t="s">
        <v>224</v>
      </c>
      <c r="D35" s="30" t="s">
        <v>225</v>
      </c>
      <c r="E35" s="30" t="s">
        <v>1643</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1644</v>
      </c>
      <c r="B36" s="30" t="s">
        <v>228</v>
      </c>
      <c r="C36" s="30" t="s">
        <v>229</v>
      </c>
      <c r="D36" s="30" t="s">
        <v>230</v>
      </c>
      <c r="E36" s="30" t="s">
        <v>1645</v>
      </c>
      <c r="F36" s="30" t="s">
        <v>232</v>
      </c>
      <c r="G36" s="33" t="s">
        <v>30</v>
      </c>
      <c r="H36" s="44">
        <f>$K$5</f>
        <v>46412.0</v>
      </c>
      <c r="I36" s="44">
        <f>$K$6</f>
        <v>46430.0</v>
      </c>
      <c r="J36" s="33"/>
      <c r="K36" s="33" t="s">
        <v>245</v>
      </c>
      <c r="L36" s="33"/>
      <c r="M36" s="45" t="str">
        <f>IF(L36="Compliant",1,IF(L36="Partially Compliant",0.5,IF(L36="Non-Compliant",0,"")))</f>
        <v/>
      </c>
      <c r="N36" s="33"/>
      <c r="O36" s="33"/>
      <c r="P36" s="33"/>
      <c r="Q36" s="31"/>
    </row>
    <row r="37" spans="8:8" ht="35.05">
      <c r="A37" s="30" t="s">
        <v>1646</v>
      </c>
      <c r="B37" s="43" t="s">
        <v>1647</v>
      </c>
      <c r="C37" s="30" t="s">
        <v>979</v>
      </c>
      <c r="D37" s="30" t="s">
        <v>1648</v>
      </c>
      <c r="E37" s="30" t="s">
        <v>1649</v>
      </c>
      <c r="F37" s="30" t="s">
        <v>1650</v>
      </c>
      <c r="G37" s="33" t="s">
        <v>30</v>
      </c>
      <c r="H37" s="44">
        <f>$K$5</f>
        <v>46412.0</v>
      </c>
      <c r="I37" s="44">
        <f>$K$6</f>
        <v>46430.0</v>
      </c>
      <c r="J37" s="33"/>
      <c r="K37" s="33" t="s">
        <v>245</v>
      </c>
      <c r="L37" s="33"/>
      <c r="M37" s="45" t="str">
        <f>IF(L37="Compliant",1,IF(L37="Partially Compliant",0.5,IF(L37="Non-Compliant",0,"")))</f>
        <v/>
      </c>
      <c r="N37" s="33"/>
      <c r="O37" s="33"/>
      <c r="P37" s="33"/>
      <c r="Q37" s="31"/>
    </row>
    <row r="38" spans="8:8" ht="23.85">
      <c r="A38" s="30" t="s">
        <v>1651</v>
      </c>
      <c r="B38" s="43" t="s">
        <v>1652</v>
      </c>
      <c r="C38" s="30" t="s">
        <v>1653</v>
      </c>
      <c r="D38" s="30" t="s">
        <v>1654</v>
      </c>
      <c r="E38" s="30" t="s">
        <v>1655</v>
      </c>
      <c r="F38" s="30" t="s">
        <v>1656</v>
      </c>
      <c r="G38" s="33" t="s">
        <v>146</v>
      </c>
      <c r="H38" s="44">
        <f>$K$5</f>
        <v>46412.0</v>
      </c>
      <c r="I38" s="44">
        <f>$K$6</f>
        <v>46430.0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87">
      <formula>"Partially Compliant"</formula>
    </cfRule>
    <cfRule type="cellIs" operator="equal" priority="4" dxfId="88">
      <formula>"Non-Compliant"</formula>
    </cfRule>
    <cfRule type="cellIs" operator="equal" priority="2" dxfId="89">
      <formula>"Compliant"</formula>
    </cfRule>
  </conditionalFormatting>
  <conditionalFormatting sqref="G15:G38">
    <cfRule type="cellIs" operator="equal" priority="5" dxfId="90">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7.xml><?xml version="1.0" encoding="utf-8"?>
<worksheet xmlns:r="http://schemas.openxmlformats.org/officeDocument/2006/relationships" xmlns="http://schemas.openxmlformats.org/spreadsheetml/2006/main">
  <sheetPr>
    <tabColor rgb="FFC55A11"/>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1657</v>
      </c>
      <c r="N1" s="34" t="s">
        <v>277</v>
      </c>
    </row>
    <row r="2" spans="8:8" ht="15.0">
      <c r="A2" s="12" t="s">
        <v>278</v>
      </c>
    </row>
    <row r="4" spans="8:8" ht="15.75" customHeight="1">
      <c r="A4" s="35" t="s">
        <v>59</v>
      </c>
      <c r="B4" s="35"/>
      <c r="C4" s="36" t="s">
        <v>96</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1658</v>
      </c>
      <c r="D8" s="36"/>
      <c r="E8" s="36"/>
      <c r="F8" s="36"/>
      <c r="H8" s="35" t="s">
        <v>34</v>
      </c>
      <c r="I8" s="35"/>
      <c r="J8" s="35"/>
      <c r="K8" s="40">
        <f>COUNTIF(K15:K37,"Completed")</f>
        <v>0.0</v>
      </c>
    </row>
    <row r="9" spans="8:8" ht="15.75" customHeight="1">
      <c r="A9" s="35" t="s">
        <v>287</v>
      </c>
      <c r="B9" s="35"/>
      <c r="C9" s="36" t="s">
        <v>1659</v>
      </c>
      <c r="D9" s="36"/>
      <c r="E9" s="36"/>
      <c r="F9" s="36"/>
      <c r="H9" s="35" t="s">
        <v>64</v>
      </c>
      <c r="I9" s="35"/>
      <c r="J9" s="35"/>
      <c r="K9" s="40">
        <f>COUNTIF(L15:L37,"Compliant")</f>
        <v>0.0</v>
      </c>
    </row>
    <row r="10" spans="8:8" ht="15.75" customHeight="1">
      <c r="A10" s="35" t="s">
        <v>289</v>
      </c>
      <c r="B10" s="35"/>
      <c r="C10" s="36" t="s">
        <v>1660</v>
      </c>
      <c r="D10" s="36"/>
      <c r="E10" s="36"/>
      <c r="F10" s="36"/>
      <c r="H10" s="35" t="s">
        <v>36</v>
      </c>
      <c r="I10" s="35"/>
      <c r="J10" s="35"/>
      <c r="K10" s="40">
        <f>COUNTIF(L15:L37,"Partially Compliant")</f>
        <v>0.0</v>
      </c>
    </row>
    <row r="11" spans="8:8" ht="15.75" customHeight="1">
      <c r="A11" s="35" t="s">
        <v>291</v>
      </c>
      <c r="B11" s="35"/>
      <c r="C11" s="39" t="s">
        <v>146</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1661</v>
      </c>
      <c r="B15" s="30" t="s">
        <v>122</v>
      </c>
      <c r="C15" s="30" t="s">
        <v>123</v>
      </c>
      <c r="D15" s="30" t="s">
        <v>124</v>
      </c>
      <c r="E15" s="30" t="s">
        <v>1662</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1663</v>
      </c>
      <c r="B16" s="30" t="s">
        <v>127</v>
      </c>
      <c r="C16" s="30" t="s">
        <v>128</v>
      </c>
      <c r="D16" s="30" t="s">
        <v>129</v>
      </c>
      <c r="E16" s="30" t="s">
        <v>1664</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1665</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1666</v>
      </c>
      <c r="B18" s="30" t="s">
        <v>28</v>
      </c>
      <c r="C18" s="30" t="s">
        <v>137</v>
      </c>
      <c r="D18" s="30" t="s">
        <v>138</v>
      </c>
      <c r="E18" s="30" t="s">
        <v>1667</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1668</v>
      </c>
      <c r="B19" s="30" t="s">
        <v>141</v>
      </c>
      <c r="C19" s="30" t="s">
        <v>142</v>
      </c>
      <c r="D19" s="30" t="s">
        <v>143</v>
      </c>
      <c r="E19" s="30" t="s">
        <v>1669</v>
      </c>
      <c r="F19" s="30" t="s">
        <v>145</v>
      </c>
      <c r="G19" s="33" t="s">
        <v>146</v>
      </c>
      <c r="H19" s="44">
        <f>$K$5</f>
        <v>46412.0</v>
      </c>
      <c r="I19" s="44">
        <f>$K$6</f>
        <v>46430.0</v>
      </c>
      <c r="J19" s="33"/>
      <c r="K19" s="33" t="s">
        <v>245</v>
      </c>
      <c r="L19" s="33"/>
      <c r="M19" s="45" t="str">
        <f>IF(L19="Compliant",1,IF(L19="Partially Compliant",0.5,IF(L19="Non-Compliant",0,"")))</f>
        <v/>
      </c>
      <c r="N19" s="33"/>
      <c r="O19" s="33"/>
      <c r="P19" s="33"/>
      <c r="Q19" s="31"/>
    </row>
    <row r="20" spans="8:8" ht="35.05">
      <c r="A20" s="30" t="s">
        <v>1670</v>
      </c>
      <c r="B20" s="30" t="s">
        <v>147</v>
      </c>
      <c r="C20" s="30" t="s">
        <v>148</v>
      </c>
      <c r="D20" s="30" t="s">
        <v>149</v>
      </c>
      <c r="E20" s="30" t="s">
        <v>1671</v>
      </c>
      <c r="F20" s="30" t="s">
        <v>151</v>
      </c>
      <c r="G20" s="33" t="s">
        <v>146</v>
      </c>
      <c r="H20" s="44">
        <f>$K$5</f>
        <v>46412.0</v>
      </c>
      <c r="I20" s="44">
        <f>$K$6</f>
        <v>46430.0</v>
      </c>
      <c r="J20" s="33"/>
      <c r="K20" s="33" t="s">
        <v>245</v>
      </c>
      <c r="L20" s="33"/>
      <c r="M20" s="45" t="str">
        <f>IF(L20="Compliant",1,IF(L20="Partially Compliant",0.5,IF(L20="Non-Compliant",0,"")))</f>
        <v/>
      </c>
      <c r="N20" s="33"/>
      <c r="O20" s="33"/>
      <c r="P20" s="33"/>
      <c r="Q20" s="31"/>
    </row>
    <row r="21" spans="8:8" ht="35.05">
      <c r="A21" s="30" t="s">
        <v>1672</v>
      </c>
      <c r="B21" s="30" t="s">
        <v>152</v>
      </c>
      <c r="C21" s="30" t="s">
        <v>153</v>
      </c>
      <c r="D21" s="30" t="s">
        <v>154</v>
      </c>
      <c r="E21" s="30" t="s">
        <v>155</v>
      </c>
      <c r="F21" s="30" t="s">
        <v>156</v>
      </c>
      <c r="G21" s="33" t="s">
        <v>146</v>
      </c>
      <c r="H21" s="44">
        <f>$K$5</f>
        <v>46412.0</v>
      </c>
      <c r="I21" s="44">
        <f>$K$6</f>
        <v>46430.0</v>
      </c>
      <c r="J21" s="33"/>
      <c r="K21" s="33" t="s">
        <v>245</v>
      </c>
      <c r="L21" s="33"/>
      <c r="M21" s="45" t="str">
        <f>IF(L21="Compliant",1,IF(L21="Partially Compliant",0.5,IF(L21="Non-Compliant",0,"")))</f>
        <v/>
      </c>
      <c r="N21" s="33"/>
      <c r="O21" s="33"/>
      <c r="P21" s="33"/>
      <c r="Q21" s="31"/>
    </row>
    <row r="22" spans="8:8" ht="35.05">
      <c r="A22" s="30" t="s">
        <v>1673</v>
      </c>
      <c r="B22" s="30" t="s">
        <v>157</v>
      </c>
      <c r="C22" s="30" t="s">
        <v>158</v>
      </c>
      <c r="D22" s="30" t="s">
        <v>159</v>
      </c>
      <c r="E22" s="30" t="s">
        <v>160</v>
      </c>
      <c r="F22" s="30" t="s">
        <v>161</v>
      </c>
      <c r="G22" s="33" t="s">
        <v>146</v>
      </c>
      <c r="H22" s="44">
        <f>$K$5</f>
        <v>46412.0</v>
      </c>
      <c r="I22" s="44">
        <f>$K$6</f>
        <v>46430.0</v>
      </c>
      <c r="J22" s="33"/>
      <c r="K22" s="33" t="s">
        <v>245</v>
      </c>
      <c r="L22" s="33"/>
      <c r="M22" s="45" t="str">
        <f>IF(L22="Compliant",1,IF(L22="Partially Compliant",0.5,IF(L22="Non-Compliant",0,"")))</f>
        <v/>
      </c>
      <c r="N22" s="33"/>
      <c r="O22" s="33"/>
      <c r="P22" s="33"/>
      <c r="Q22" s="31"/>
    </row>
    <row r="23" spans="8:8" ht="35.05">
      <c r="A23" s="30" t="s">
        <v>1674</v>
      </c>
      <c r="B23" s="30" t="s">
        <v>162</v>
      </c>
      <c r="C23" s="30" t="s">
        <v>163</v>
      </c>
      <c r="D23" s="30" t="s">
        <v>164</v>
      </c>
      <c r="E23" s="30" t="s">
        <v>1675</v>
      </c>
      <c r="F23" s="30" t="s">
        <v>166</v>
      </c>
      <c r="G23" s="33" t="s">
        <v>146</v>
      </c>
      <c r="H23" s="44">
        <f>$K$5</f>
        <v>46412.0</v>
      </c>
      <c r="I23" s="44">
        <f>$K$6</f>
        <v>46430.0</v>
      </c>
      <c r="J23" s="33"/>
      <c r="K23" s="33" t="s">
        <v>245</v>
      </c>
      <c r="L23" s="33"/>
      <c r="M23" s="45" t="str">
        <f>IF(L23="Compliant",1,IF(L23="Partially Compliant",0.5,IF(L23="Non-Compliant",0,"")))</f>
        <v/>
      </c>
      <c r="N23" s="33"/>
      <c r="O23" s="33"/>
      <c r="P23" s="33"/>
      <c r="Q23" s="31"/>
    </row>
    <row r="24" spans="8:8" ht="35.05">
      <c r="A24" s="30" t="s">
        <v>1676</v>
      </c>
      <c r="B24" s="30" t="s">
        <v>167</v>
      </c>
      <c r="C24" s="30" t="s">
        <v>168</v>
      </c>
      <c r="D24" s="30" t="s">
        <v>169</v>
      </c>
      <c r="E24" s="30" t="s">
        <v>1677</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1678</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1679</v>
      </c>
      <c r="B26" s="30" t="s">
        <v>177</v>
      </c>
      <c r="C26" s="30" t="s">
        <v>178</v>
      </c>
      <c r="D26" s="30" t="s">
        <v>1680</v>
      </c>
      <c r="E26" s="30" t="s">
        <v>1681</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1682</v>
      </c>
      <c r="B27" s="30" t="s">
        <v>182</v>
      </c>
      <c r="C27" s="30" t="s">
        <v>183</v>
      </c>
      <c r="D27" s="30" t="s">
        <v>184</v>
      </c>
      <c r="E27" s="30" t="s">
        <v>1683</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1684</v>
      </c>
      <c r="B28" s="30" t="s">
        <v>187</v>
      </c>
      <c r="C28" s="30" t="s">
        <v>188</v>
      </c>
      <c r="D28" s="30" t="s">
        <v>189</v>
      </c>
      <c r="E28" s="30" t="s">
        <v>1685</v>
      </c>
      <c r="F28" s="30" t="s">
        <v>191</v>
      </c>
      <c r="G28" s="33" t="s">
        <v>146</v>
      </c>
      <c r="H28" s="44">
        <f>$K$5</f>
        <v>46412.0</v>
      </c>
      <c r="I28" s="44">
        <f>$K$6</f>
        <v>46430.0</v>
      </c>
      <c r="J28" s="33"/>
      <c r="K28" s="33" t="s">
        <v>245</v>
      </c>
      <c r="L28" s="33"/>
      <c r="M28" s="45" t="str">
        <f>IF(L28="Compliant",1,IF(L28="Partially Compliant",0.5,IF(L28="Non-Compliant",0,"")))</f>
        <v/>
      </c>
      <c r="N28" s="33"/>
      <c r="O28" s="33"/>
      <c r="P28" s="33"/>
      <c r="Q28" s="31"/>
    </row>
    <row r="29" spans="8:8" ht="35.05">
      <c r="A29" s="30" t="s">
        <v>1686</v>
      </c>
      <c r="B29" s="30" t="s">
        <v>192</v>
      </c>
      <c r="C29" s="30" t="s">
        <v>193</v>
      </c>
      <c r="D29" s="30" t="s">
        <v>194</v>
      </c>
      <c r="E29" s="30" t="s">
        <v>1687</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1688</v>
      </c>
      <c r="B30" s="30" t="s">
        <v>197</v>
      </c>
      <c r="C30" s="30" t="s">
        <v>198</v>
      </c>
      <c r="D30" s="30" t="s">
        <v>199</v>
      </c>
      <c r="E30" s="30" t="s">
        <v>1689</v>
      </c>
      <c r="F30" s="30" t="s">
        <v>201</v>
      </c>
      <c r="G30" s="33" t="s">
        <v>146</v>
      </c>
      <c r="H30" s="44">
        <f>$K$5</f>
        <v>46412.0</v>
      </c>
      <c r="I30" s="44">
        <f>$K$6</f>
        <v>46430.0</v>
      </c>
      <c r="J30" s="33"/>
      <c r="K30" s="33" t="s">
        <v>245</v>
      </c>
      <c r="L30" s="33"/>
      <c r="M30" s="45" t="str">
        <f>IF(L30="Compliant",1,IF(L30="Partially Compliant",0.5,IF(L30="Non-Compliant",0,"")))</f>
        <v/>
      </c>
      <c r="N30" s="33"/>
      <c r="O30" s="33"/>
      <c r="P30" s="33"/>
      <c r="Q30" s="31"/>
    </row>
    <row r="31" spans="8:8" ht="35.05">
      <c r="A31" s="30" t="s">
        <v>1690</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1691</v>
      </c>
      <c r="B32" s="30" t="s">
        <v>208</v>
      </c>
      <c r="C32" s="30" t="s">
        <v>209</v>
      </c>
      <c r="D32" s="30" t="s">
        <v>210</v>
      </c>
      <c r="E32" s="30" t="s">
        <v>1692</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1693</v>
      </c>
      <c r="B33" s="30" t="s">
        <v>213</v>
      </c>
      <c r="C33" s="30" t="s">
        <v>214</v>
      </c>
      <c r="D33" s="30" t="s">
        <v>215</v>
      </c>
      <c r="E33" s="30" t="s">
        <v>1694</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1695</v>
      </c>
      <c r="B34" s="30" t="s">
        <v>218</v>
      </c>
      <c r="C34" s="30" t="s">
        <v>219</v>
      </c>
      <c r="D34" s="30" t="s">
        <v>220</v>
      </c>
      <c r="E34" s="30" t="s">
        <v>1696</v>
      </c>
      <c r="F34" s="30" t="s">
        <v>222</v>
      </c>
      <c r="G34" s="33" t="s">
        <v>146</v>
      </c>
      <c r="H34" s="44">
        <f>$K$5</f>
        <v>46412.0</v>
      </c>
      <c r="I34" s="44">
        <f>$K$6</f>
        <v>46430.0</v>
      </c>
      <c r="J34" s="33"/>
      <c r="K34" s="33" t="s">
        <v>245</v>
      </c>
      <c r="L34" s="33"/>
      <c r="M34" s="45" t="str">
        <f>IF(L34="Compliant",1,IF(L34="Partially Compliant",0.5,IF(L34="Non-Compliant",0,"")))</f>
        <v/>
      </c>
      <c r="N34" s="33"/>
      <c r="O34" s="33"/>
      <c r="P34" s="33"/>
      <c r="Q34" s="31"/>
    </row>
    <row r="35" spans="8:8" ht="35.05">
      <c r="A35" s="30" t="s">
        <v>1697</v>
      </c>
      <c r="B35" s="30" t="s">
        <v>223</v>
      </c>
      <c r="C35" s="30" t="s">
        <v>224</v>
      </c>
      <c r="D35" s="30" t="s">
        <v>225</v>
      </c>
      <c r="E35" s="30" t="s">
        <v>1698</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1699</v>
      </c>
      <c r="B36" s="30" t="s">
        <v>228</v>
      </c>
      <c r="C36" s="30" t="s">
        <v>229</v>
      </c>
      <c r="D36" s="30" t="s">
        <v>230</v>
      </c>
      <c r="E36" s="30" t="s">
        <v>1700</v>
      </c>
      <c r="F36" s="30" t="s">
        <v>232</v>
      </c>
      <c r="G36" s="33" t="s">
        <v>146</v>
      </c>
      <c r="H36" s="44">
        <f>$K$5</f>
        <v>46412.0</v>
      </c>
      <c r="I36" s="44">
        <f>$K$6</f>
        <v>46430.0</v>
      </c>
      <c r="J36" s="33"/>
      <c r="K36" s="33" t="s">
        <v>245</v>
      </c>
      <c r="L36" s="33"/>
      <c r="M36" s="45" t="str">
        <f>IF(L36="Compliant",1,IF(L36="Partially Compliant",0.5,IF(L36="Non-Compliant",0,"")))</f>
        <v/>
      </c>
      <c r="N36" s="33"/>
      <c r="O36" s="33"/>
      <c r="P36" s="33"/>
      <c r="Q36" s="31"/>
    </row>
    <row r="37" spans="8:8" ht="35.05">
      <c r="A37" s="30" t="s">
        <v>1701</v>
      </c>
      <c r="B37" s="43" t="s">
        <v>1702</v>
      </c>
      <c r="C37" s="30" t="s">
        <v>1096</v>
      </c>
      <c r="D37" s="30" t="s">
        <v>1703</v>
      </c>
      <c r="E37" s="30" t="s">
        <v>1704</v>
      </c>
      <c r="F37" s="30" t="s">
        <v>1705</v>
      </c>
      <c r="G37" s="33" t="s">
        <v>146</v>
      </c>
      <c r="H37" s="44">
        <f>$K$5</f>
        <v>46412.0</v>
      </c>
      <c r="I37" s="44">
        <f>$K$6</f>
        <v>46430.0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91">
      <formula>"Partially Compliant"</formula>
    </cfRule>
    <cfRule type="cellIs" operator="equal" priority="4" dxfId="92">
      <formula>"Non-Compliant"</formula>
    </cfRule>
    <cfRule type="cellIs" operator="equal" priority="2" dxfId="93">
      <formula>"Compliant"</formula>
    </cfRule>
  </conditionalFormatting>
  <conditionalFormatting sqref="G15:G37">
    <cfRule type="cellIs" operator="equal" priority="5" dxfId="94">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8.xml><?xml version="1.0" encoding="utf-8"?>
<worksheet xmlns:r="http://schemas.openxmlformats.org/officeDocument/2006/relationships" xmlns="http://schemas.openxmlformats.org/spreadsheetml/2006/main">
  <sheetPr>
    <tabColor rgb="FFC55A11"/>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1706</v>
      </c>
      <c r="N1" s="34" t="s">
        <v>277</v>
      </c>
    </row>
    <row r="2" spans="8:8" ht="15.0">
      <c r="A2" s="12" t="s">
        <v>278</v>
      </c>
    </row>
    <row r="4" spans="8:8" ht="15.75" customHeight="1">
      <c r="A4" s="35" t="s">
        <v>59</v>
      </c>
      <c r="B4" s="35"/>
      <c r="C4" s="36" t="s">
        <v>97</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1707</v>
      </c>
      <c r="D8" s="36"/>
      <c r="E8" s="36"/>
      <c r="F8" s="36"/>
      <c r="H8" s="35" t="s">
        <v>34</v>
      </c>
      <c r="I8" s="35"/>
      <c r="J8" s="35"/>
      <c r="K8" s="40">
        <f>COUNTIF(K15:K38,"Completed")</f>
        <v>0.0</v>
      </c>
    </row>
    <row r="9" spans="8:8" ht="27.75" customHeight="1">
      <c r="A9" s="35" t="s">
        <v>287</v>
      </c>
      <c r="B9" s="35"/>
      <c r="C9" s="36" t="s">
        <v>1708</v>
      </c>
      <c r="D9" s="36"/>
      <c r="E9" s="36"/>
      <c r="F9" s="36"/>
      <c r="H9" s="35" t="s">
        <v>64</v>
      </c>
      <c r="I9" s="35"/>
      <c r="J9" s="35"/>
      <c r="K9" s="40">
        <f>COUNTIF(L15:L38,"Compliant")</f>
        <v>0.0</v>
      </c>
    </row>
    <row r="10" spans="8:8" ht="15.75" customHeight="1">
      <c r="A10" s="35" t="s">
        <v>289</v>
      </c>
      <c r="B10" s="35"/>
      <c r="C10" s="36" t="s">
        <v>1709</v>
      </c>
      <c r="D10" s="36"/>
      <c r="E10" s="36"/>
      <c r="F10" s="36"/>
      <c r="H10" s="35" t="s">
        <v>36</v>
      </c>
      <c r="I10" s="35"/>
      <c r="J10" s="35"/>
      <c r="K10" s="40">
        <f>COUNTIF(L15:L38,"Partially Compliant")</f>
        <v>0.0</v>
      </c>
    </row>
    <row r="11" spans="8:8" ht="15.75" customHeight="1">
      <c r="A11" s="35" t="s">
        <v>291</v>
      </c>
      <c r="B11" s="35"/>
      <c r="C11" s="39" t="s">
        <v>30</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1710</v>
      </c>
      <c r="B15" s="30" t="s">
        <v>122</v>
      </c>
      <c r="C15" s="30" t="s">
        <v>123</v>
      </c>
      <c r="D15" s="30" t="s">
        <v>124</v>
      </c>
      <c r="E15" s="30" t="s">
        <v>1711</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1712</v>
      </c>
      <c r="B16" s="30" t="s">
        <v>127</v>
      </c>
      <c r="C16" s="30" t="s">
        <v>128</v>
      </c>
      <c r="D16" s="30" t="s">
        <v>129</v>
      </c>
      <c r="E16" s="30" t="s">
        <v>1713</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1714</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1715</v>
      </c>
      <c r="B18" s="30" t="s">
        <v>28</v>
      </c>
      <c r="C18" s="30" t="s">
        <v>137</v>
      </c>
      <c r="D18" s="30" t="s">
        <v>138</v>
      </c>
      <c r="E18" s="30" t="s">
        <v>1716</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1717</v>
      </c>
      <c r="B19" s="30" t="s">
        <v>141</v>
      </c>
      <c r="C19" s="30" t="s">
        <v>142</v>
      </c>
      <c r="D19" s="30" t="s">
        <v>143</v>
      </c>
      <c r="E19" s="30" t="s">
        <v>1718</v>
      </c>
      <c r="F19" s="30" t="s">
        <v>145</v>
      </c>
      <c r="G19" s="33" t="s">
        <v>30</v>
      </c>
      <c r="H19" s="44">
        <f>$K$5</f>
        <v>46412.0</v>
      </c>
      <c r="I19" s="44">
        <f>$K$6</f>
        <v>46430.0</v>
      </c>
      <c r="J19" s="33"/>
      <c r="K19" s="33" t="s">
        <v>245</v>
      </c>
      <c r="L19" s="33"/>
      <c r="M19" s="45" t="str">
        <f>IF(L19="Compliant",1,IF(L19="Partially Compliant",0.5,IF(L19="Non-Compliant",0,"")))</f>
        <v/>
      </c>
      <c r="N19" s="33"/>
      <c r="O19" s="33"/>
      <c r="P19" s="33"/>
      <c r="Q19" s="31"/>
    </row>
    <row r="20" spans="8:8" ht="35.05">
      <c r="A20" s="30" t="s">
        <v>1719</v>
      </c>
      <c r="B20" s="30" t="s">
        <v>147</v>
      </c>
      <c r="C20" s="30" t="s">
        <v>148</v>
      </c>
      <c r="D20" s="30" t="s">
        <v>149</v>
      </c>
      <c r="E20" s="30" t="s">
        <v>1720</v>
      </c>
      <c r="F20" s="30" t="s">
        <v>151</v>
      </c>
      <c r="G20" s="33" t="s">
        <v>30</v>
      </c>
      <c r="H20" s="44">
        <f>$K$5</f>
        <v>46412.0</v>
      </c>
      <c r="I20" s="44">
        <f>$K$6</f>
        <v>46430.0</v>
      </c>
      <c r="J20" s="33"/>
      <c r="K20" s="33" t="s">
        <v>245</v>
      </c>
      <c r="L20" s="33"/>
      <c r="M20" s="45" t="str">
        <f>IF(L20="Compliant",1,IF(L20="Partially Compliant",0.5,IF(L20="Non-Compliant",0,"")))</f>
        <v/>
      </c>
      <c r="N20" s="33"/>
      <c r="O20" s="33"/>
      <c r="P20" s="33"/>
      <c r="Q20" s="31"/>
    </row>
    <row r="21" spans="8:8" ht="35.05">
      <c r="A21" s="30" t="s">
        <v>1721</v>
      </c>
      <c r="B21" s="30" t="s">
        <v>152</v>
      </c>
      <c r="C21" s="30" t="s">
        <v>153</v>
      </c>
      <c r="D21" s="30" t="s">
        <v>154</v>
      </c>
      <c r="E21" s="30" t="s">
        <v>155</v>
      </c>
      <c r="F21" s="30" t="s">
        <v>156</v>
      </c>
      <c r="G21" s="33" t="s">
        <v>30</v>
      </c>
      <c r="H21" s="44">
        <f>$K$5</f>
        <v>46412.0</v>
      </c>
      <c r="I21" s="44">
        <f>$K$6</f>
        <v>46430.0</v>
      </c>
      <c r="J21" s="33"/>
      <c r="K21" s="33" t="s">
        <v>245</v>
      </c>
      <c r="L21" s="33"/>
      <c r="M21" s="45" t="str">
        <f>IF(L21="Compliant",1,IF(L21="Partially Compliant",0.5,IF(L21="Non-Compliant",0,"")))</f>
        <v/>
      </c>
      <c r="N21" s="33"/>
      <c r="O21" s="33"/>
      <c r="P21" s="33"/>
      <c r="Q21" s="31"/>
    </row>
    <row r="22" spans="8:8" ht="35.05">
      <c r="A22" s="30" t="s">
        <v>1722</v>
      </c>
      <c r="B22" s="30" t="s">
        <v>157</v>
      </c>
      <c r="C22" s="30" t="s">
        <v>158</v>
      </c>
      <c r="D22" s="30" t="s">
        <v>159</v>
      </c>
      <c r="E22" s="30" t="s">
        <v>160</v>
      </c>
      <c r="F22" s="30" t="s">
        <v>161</v>
      </c>
      <c r="G22" s="33" t="s">
        <v>30</v>
      </c>
      <c r="H22" s="44">
        <f>$K$5</f>
        <v>46412.0</v>
      </c>
      <c r="I22" s="44">
        <f>$K$6</f>
        <v>46430.0</v>
      </c>
      <c r="J22" s="33"/>
      <c r="K22" s="33" t="s">
        <v>245</v>
      </c>
      <c r="L22" s="33"/>
      <c r="M22" s="45" t="str">
        <f>IF(L22="Compliant",1,IF(L22="Partially Compliant",0.5,IF(L22="Non-Compliant",0,"")))</f>
        <v/>
      </c>
      <c r="N22" s="33"/>
      <c r="O22" s="33"/>
      <c r="P22" s="33"/>
      <c r="Q22" s="31"/>
    </row>
    <row r="23" spans="8:8" ht="35.05">
      <c r="A23" s="30" t="s">
        <v>1723</v>
      </c>
      <c r="B23" s="30" t="s">
        <v>162</v>
      </c>
      <c r="C23" s="30" t="s">
        <v>163</v>
      </c>
      <c r="D23" s="30" t="s">
        <v>164</v>
      </c>
      <c r="E23" s="30" t="s">
        <v>1724</v>
      </c>
      <c r="F23" s="30" t="s">
        <v>166</v>
      </c>
      <c r="G23" s="33" t="s">
        <v>30</v>
      </c>
      <c r="H23" s="44">
        <f>$K$5</f>
        <v>46412.0</v>
      </c>
      <c r="I23" s="44">
        <f>$K$6</f>
        <v>46430.0</v>
      </c>
      <c r="J23" s="33"/>
      <c r="K23" s="33" t="s">
        <v>245</v>
      </c>
      <c r="L23" s="33"/>
      <c r="M23" s="45" t="str">
        <f>IF(L23="Compliant",1,IF(L23="Partially Compliant",0.5,IF(L23="Non-Compliant",0,"")))</f>
        <v/>
      </c>
      <c r="N23" s="33"/>
      <c r="O23" s="33"/>
      <c r="P23" s="33"/>
      <c r="Q23" s="31"/>
    </row>
    <row r="24" spans="8:8" ht="35.05">
      <c r="A24" s="30" t="s">
        <v>1725</v>
      </c>
      <c r="B24" s="30" t="s">
        <v>167</v>
      </c>
      <c r="C24" s="30" t="s">
        <v>168</v>
      </c>
      <c r="D24" s="30" t="s">
        <v>169</v>
      </c>
      <c r="E24" s="30" t="s">
        <v>1726</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1727</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1728</v>
      </c>
      <c r="B26" s="30" t="s">
        <v>177</v>
      </c>
      <c r="C26" s="30" t="s">
        <v>178</v>
      </c>
      <c r="D26" s="30" t="s">
        <v>1729</v>
      </c>
      <c r="E26" s="30" t="s">
        <v>1730</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1731</v>
      </c>
      <c r="B27" s="30" t="s">
        <v>182</v>
      </c>
      <c r="C27" s="30" t="s">
        <v>183</v>
      </c>
      <c r="D27" s="30" t="s">
        <v>184</v>
      </c>
      <c r="E27" s="30" t="s">
        <v>1732</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1733</v>
      </c>
      <c r="B28" s="30" t="s">
        <v>187</v>
      </c>
      <c r="C28" s="30" t="s">
        <v>188</v>
      </c>
      <c r="D28" s="30" t="s">
        <v>189</v>
      </c>
      <c r="E28" s="30" t="s">
        <v>1734</v>
      </c>
      <c r="F28" s="30" t="s">
        <v>191</v>
      </c>
      <c r="G28" s="33" t="s">
        <v>30</v>
      </c>
      <c r="H28" s="44">
        <f>$K$5</f>
        <v>46412.0</v>
      </c>
      <c r="I28" s="44">
        <f>$K$6</f>
        <v>46430.0</v>
      </c>
      <c r="J28" s="33"/>
      <c r="K28" s="33" t="s">
        <v>245</v>
      </c>
      <c r="L28" s="33"/>
      <c r="M28" s="45" t="str">
        <f>IF(L28="Compliant",1,IF(L28="Partially Compliant",0.5,IF(L28="Non-Compliant",0,"")))</f>
        <v/>
      </c>
      <c r="N28" s="33"/>
      <c r="O28" s="33"/>
      <c r="P28" s="33"/>
      <c r="Q28" s="31"/>
    </row>
    <row r="29" spans="8:8" ht="35.05">
      <c r="A29" s="30" t="s">
        <v>1735</v>
      </c>
      <c r="B29" s="30" t="s">
        <v>192</v>
      </c>
      <c r="C29" s="30" t="s">
        <v>193</v>
      </c>
      <c r="D29" s="30" t="s">
        <v>194</v>
      </c>
      <c r="E29" s="30" t="s">
        <v>1736</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1737</v>
      </c>
      <c r="B30" s="30" t="s">
        <v>197</v>
      </c>
      <c r="C30" s="30" t="s">
        <v>198</v>
      </c>
      <c r="D30" s="30" t="s">
        <v>199</v>
      </c>
      <c r="E30" s="30" t="s">
        <v>1738</v>
      </c>
      <c r="F30" s="30" t="s">
        <v>201</v>
      </c>
      <c r="G30" s="33" t="s">
        <v>30</v>
      </c>
      <c r="H30" s="44">
        <f>$K$5</f>
        <v>46412.0</v>
      </c>
      <c r="I30" s="44">
        <f>$K$6</f>
        <v>46430.0</v>
      </c>
      <c r="J30" s="33"/>
      <c r="K30" s="33" t="s">
        <v>245</v>
      </c>
      <c r="L30" s="33"/>
      <c r="M30" s="45" t="str">
        <f>IF(L30="Compliant",1,IF(L30="Partially Compliant",0.5,IF(L30="Non-Compliant",0,"")))</f>
        <v/>
      </c>
      <c r="N30" s="33"/>
      <c r="O30" s="33"/>
      <c r="P30" s="33"/>
      <c r="Q30" s="31"/>
    </row>
    <row r="31" spans="8:8" ht="35.05">
      <c r="A31" s="30" t="s">
        <v>1739</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1740</v>
      </c>
      <c r="B32" s="30" t="s">
        <v>208</v>
      </c>
      <c r="C32" s="30" t="s">
        <v>209</v>
      </c>
      <c r="D32" s="30" t="s">
        <v>210</v>
      </c>
      <c r="E32" s="30" t="s">
        <v>1741</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1742</v>
      </c>
      <c r="B33" s="30" t="s">
        <v>213</v>
      </c>
      <c r="C33" s="30" t="s">
        <v>214</v>
      </c>
      <c r="D33" s="30" t="s">
        <v>215</v>
      </c>
      <c r="E33" s="30" t="s">
        <v>1743</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1744</v>
      </c>
      <c r="B34" s="30" t="s">
        <v>218</v>
      </c>
      <c r="C34" s="30" t="s">
        <v>219</v>
      </c>
      <c r="D34" s="30" t="s">
        <v>220</v>
      </c>
      <c r="E34" s="30" t="s">
        <v>1745</v>
      </c>
      <c r="F34" s="30" t="s">
        <v>222</v>
      </c>
      <c r="G34" s="33" t="s">
        <v>30</v>
      </c>
      <c r="H34" s="44">
        <f>$K$5</f>
        <v>46412.0</v>
      </c>
      <c r="I34" s="44">
        <f>$K$6</f>
        <v>46430.0</v>
      </c>
      <c r="J34" s="33"/>
      <c r="K34" s="33" t="s">
        <v>245</v>
      </c>
      <c r="L34" s="33"/>
      <c r="M34" s="45" t="str">
        <f>IF(L34="Compliant",1,IF(L34="Partially Compliant",0.5,IF(L34="Non-Compliant",0,"")))</f>
        <v/>
      </c>
      <c r="N34" s="33"/>
      <c r="O34" s="33"/>
      <c r="P34" s="33"/>
      <c r="Q34" s="31"/>
    </row>
    <row r="35" spans="8:8" ht="23.85">
      <c r="A35" s="30" t="s">
        <v>1746</v>
      </c>
      <c r="B35" s="30" t="s">
        <v>223</v>
      </c>
      <c r="C35" s="30" t="s">
        <v>224</v>
      </c>
      <c r="D35" s="30" t="s">
        <v>225</v>
      </c>
      <c r="E35" s="30" t="s">
        <v>1747</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1748</v>
      </c>
      <c r="B36" s="30" t="s">
        <v>228</v>
      </c>
      <c r="C36" s="30" t="s">
        <v>229</v>
      </c>
      <c r="D36" s="30" t="s">
        <v>230</v>
      </c>
      <c r="E36" s="30" t="s">
        <v>1749</v>
      </c>
      <c r="F36" s="30" t="s">
        <v>232</v>
      </c>
      <c r="G36" s="33" t="s">
        <v>30</v>
      </c>
      <c r="H36" s="44">
        <f>$K$5</f>
        <v>46412.0</v>
      </c>
      <c r="I36" s="44">
        <f>$K$6</f>
        <v>46430.0</v>
      </c>
      <c r="J36" s="33"/>
      <c r="K36" s="33" t="s">
        <v>245</v>
      </c>
      <c r="L36" s="33"/>
      <c r="M36" s="45" t="str">
        <f>IF(L36="Compliant",1,IF(L36="Partially Compliant",0.5,IF(L36="Non-Compliant",0,"")))</f>
        <v/>
      </c>
      <c r="N36" s="33"/>
      <c r="O36" s="33"/>
      <c r="P36" s="33"/>
      <c r="Q36" s="31"/>
    </row>
    <row r="37" spans="8:8" ht="35.05">
      <c r="A37" s="30" t="s">
        <v>1750</v>
      </c>
      <c r="B37" s="43" t="s">
        <v>1751</v>
      </c>
      <c r="C37" s="30" t="s">
        <v>1752</v>
      </c>
      <c r="D37" s="30" t="s">
        <v>1753</v>
      </c>
      <c r="E37" s="30" t="s">
        <v>1754</v>
      </c>
      <c r="F37" s="30" t="s">
        <v>1755</v>
      </c>
      <c r="G37" s="33" t="s">
        <v>30</v>
      </c>
      <c r="H37" s="44">
        <f>$K$5</f>
        <v>46412.0</v>
      </c>
      <c r="I37" s="44">
        <f>$K$6</f>
        <v>46430.0</v>
      </c>
      <c r="J37" s="33"/>
      <c r="K37" s="33" t="s">
        <v>245</v>
      </c>
      <c r="L37" s="33"/>
      <c r="M37" s="45" t="str">
        <f>IF(L37="Compliant",1,IF(L37="Partially Compliant",0.5,IF(L37="Non-Compliant",0,"")))</f>
        <v/>
      </c>
      <c r="N37" s="33"/>
      <c r="O37" s="33"/>
      <c r="P37" s="33"/>
      <c r="Q37" s="31"/>
    </row>
    <row r="38" spans="8:8" ht="23.85">
      <c r="A38" s="30" t="s">
        <v>1756</v>
      </c>
      <c r="B38" s="43" t="s">
        <v>1757</v>
      </c>
      <c r="C38" s="30" t="s">
        <v>1758</v>
      </c>
      <c r="D38" s="30" t="s">
        <v>1759</v>
      </c>
      <c r="E38" s="30" t="s">
        <v>1760</v>
      </c>
      <c r="F38" s="30" t="s">
        <v>1761</v>
      </c>
      <c r="G38" s="33" t="s">
        <v>207</v>
      </c>
      <c r="H38" s="44">
        <f>$K$5</f>
        <v>46412.0</v>
      </c>
      <c r="I38" s="44">
        <f>$K$6</f>
        <v>46430.0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95">
      <formula>"Partially Compliant"</formula>
    </cfRule>
    <cfRule type="cellIs" operator="equal" priority="4" dxfId="96">
      <formula>"Non-Compliant"</formula>
    </cfRule>
    <cfRule type="cellIs" operator="equal" priority="2" dxfId="97">
      <formula>"Compliant"</formula>
    </cfRule>
  </conditionalFormatting>
  <conditionalFormatting sqref="G15:G38">
    <cfRule type="cellIs" operator="equal" priority="5" dxfId="98">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29.xml><?xml version="1.0" encoding="utf-8"?>
<worksheet xmlns:r="http://schemas.openxmlformats.org/officeDocument/2006/relationships" xmlns="http://schemas.openxmlformats.org/spreadsheetml/2006/main">
  <sheetPr>
    <tabColor rgb="FFC55A11"/>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1762</v>
      </c>
      <c r="N1" s="34" t="s">
        <v>277</v>
      </c>
    </row>
    <row r="2" spans="8:8" ht="15.0">
      <c r="A2" s="12" t="s">
        <v>278</v>
      </c>
    </row>
    <row r="4" spans="8:8" ht="15.75" customHeight="1">
      <c r="A4" s="35" t="s">
        <v>59</v>
      </c>
      <c r="B4" s="35"/>
      <c r="C4" s="36" t="s">
        <v>98</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1763</v>
      </c>
      <c r="D8" s="36"/>
      <c r="E8" s="36"/>
      <c r="F8" s="36"/>
      <c r="H8" s="35" t="s">
        <v>34</v>
      </c>
      <c r="I8" s="35"/>
      <c r="J8" s="35"/>
      <c r="K8" s="40">
        <f>COUNTIF(K15:K37,"Completed")</f>
        <v>0.0</v>
      </c>
    </row>
    <row r="9" spans="8:8" ht="15.75" customHeight="1">
      <c r="A9" s="35" t="s">
        <v>287</v>
      </c>
      <c r="B9" s="35"/>
      <c r="C9" s="36" t="s">
        <v>1764</v>
      </c>
      <c r="D9" s="36"/>
      <c r="E9" s="36"/>
      <c r="F9" s="36"/>
      <c r="H9" s="35" t="s">
        <v>64</v>
      </c>
      <c r="I9" s="35"/>
      <c r="J9" s="35"/>
      <c r="K9" s="40">
        <f>COUNTIF(L15:L37,"Compliant")</f>
        <v>0.0</v>
      </c>
    </row>
    <row r="10" spans="8:8" ht="15.75" customHeight="1">
      <c r="A10" s="35" t="s">
        <v>289</v>
      </c>
      <c r="B10" s="35"/>
      <c r="C10" s="36" t="s">
        <v>1765</v>
      </c>
      <c r="D10" s="36"/>
      <c r="E10" s="36"/>
      <c r="F10" s="36"/>
      <c r="H10" s="35" t="s">
        <v>36</v>
      </c>
      <c r="I10" s="35"/>
      <c r="J10" s="35"/>
      <c r="K10" s="40">
        <f>COUNTIF(L15:L37,"Partially Compliant")</f>
        <v>0.0</v>
      </c>
    </row>
    <row r="11" spans="8:8" ht="15.75" customHeight="1">
      <c r="A11" s="35" t="s">
        <v>291</v>
      </c>
      <c r="B11" s="35"/>
      <c r="C11" s="39" t="s">
        <v>146</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1766</v>
      </c>
      <c r="B15" s="30" t="s">
        <v>122</v>
      </c>
      <c r="C15" s="30" t="s">
        <v>123</v>
      </c>
      <c r="D15" s="30" t="s">
        <v>124</v>
      </c>
      <c r="E15" s="30" t="s">
        <v>1767</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1768</v>
      </c>
      <c r="B16" s="30" t="s">
        <v>127</v>
      </c>
      <c r="C16" s="30" t="s">
        <v>128</v>
      </c>
      <c r="D16" s="30" t="s">
        <v>129</v>
      </c>
      <c r="E16" s="30" t="s">
        <v>1769</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1770</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1771</v>
      </c>
      <c r="B18" s="30" t="s">
        <v>28</v>
      </c>
      <c r="C18" s="30" t="s">
        <v>137</v>
      </c>
      <c r="D18" s="30" t="s">
        <v>138</v>
      </c>
      <c r="E18" s="30" t="s">
        <v>1772</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1773</v>
      </c>
      <c r="B19" s="30" t="s">
        <v>141</v>
      </c>
      <c r="C19" s="30" t="s">
        <v>142</v>
      </c>
      <c r="D19" s="30" t="s">
        <v>143</v>
      </c>
      <c r="E19" s="30" t="s">
        <v>1774</v>
      </c>
      <c r="F19" s="30" t="s">
        <v>145</v>
      </c>
      <c r="G19" s="33" t="s">
        <v>146</v>
      </c>
      <c r="H19" s="44">
        <f>$K$5</f>
        <v>46412.0</v>
      </c>
      <c r="I19" s="44">
        <f>$K$6</f>
        <v>46430.0</v>
      </c>
      <c r="J19" s="33"/>
      <c r="K19" s="33" t="s">
        <v>245</v>
      </c>
      <c r="L19" s="33"/>
      <c r="M19" s="45" t="str">
        <f>IF(L19="Compliant",1,IF(L19="Partially Compliant",0.5,IF(L19="Non-Compliant",0,"")))</f>
        <v/>
      </c>
      <c r="N19" s="33"/>
      <c r="O19" s="33"/>
      <c r="P19" s="33"/>
      <c r="Q19" s="31"/>
    </row>
    <row r="20" spans="8:8" ht="35.05">
      <c r="A20" s="30" t="s">
        <v>1775</v>
      </c>
      <c r="B20" s="30" t="s">
        <v>147</v>
      </c>
      <c r="C20" s="30" t="s">
        <v>148</v>
      </c>
      <c r="D20" s="30" t="s">
        <v>149</v>
      </c>
      <c r="E20" s="30" t="s">
        <v>1776</v>
      </c>
      <c r="F20" s="30" t="s">
        <v>151</v>
      </c>
      <c r="G20" s="33" t="s">
        <v>146</v>
      </c>
      <c r="H20" s="44">
        <f>$K$5</f>
        <v>46412.0</v>
      </c>
      <c r="I20" s="44">
        <f>$K$6</f>
        <v>46430.0</v>
      </c>
      <c r="J20" s="33"/>
      <c r="K20" s="33" t="s">
        <v>245</v>
      </c>
      <c r="L20" s="33"/>
      <c r="M20" s="45" t="str">
        <f>IF(L20="Compliant",1,IF(L20="Partially Compliant",0.5,IF(L20="Non-Compliant",0,"")))</f>
        <v/>
      </c>
      <c r="N20" s="33"/>
      <c r="O20" s="33"/>
      <c r="P20" s="33"/>
      <c r="Q20" s="31"/>
    </row>
    <row r="21" spans="8:8" ht="35.05">
      <c r="A21" s="30" t="s">
        <v>1777</v>
      </c>
      <c r="B21" s="30" t="s">
        <v>152</v>
      </c>
      <c r="C21" s="30" t="s">
        <v>153</v>
      </c>
      <c r="D21" s="30" t="s">
        <v>154</v>
      </c>
      <c r="E21" s="30" t="s">
        <v>155</v>
      </c>
      <c r="F21" s="30" t="s">
        <v>156</v>
      </c>
      <c r="G21" s="33" t="s">
        <v>146</v>
      </c>
      <c r="H21" s="44">
        <f>$K$5</f>
        <v>46412.0</v>
      </c>
      <c r="I21" s="44">
        <f>$K$6</f>
        <v>46430.0</v>
      </c>
      <c r="J21" s="33"/>
      <c r="K21" s="33" t="s">
        <v>245</v>
      </c>
      <c r="L21" s="33"/>
      <c r="M21" s="45" t="str">
        <f>IF(L21="Compliant",1,IF(L21="Partially Compliant",0.5,IF(L21="Non-Compliant",0,"")))</f>
        <v/>
      </c>
      <c r="N21" s="33"/>
      <c r="O21" s="33"/>
      <c r="P21" s="33"/>
      <c r="Q21" s="31"/>
    </row>
    <row r="22" spans="8:8" ht="35.05">
      <c r="A22" s="30" t="s">
        <v>1778</v>
      </c>
      <c r="B22" s="30" t="s">
        <v>157</v>
      </c>
      <c r="C22" s="30" t="s">
        <v>158</v>
      </c>
      <c r="D22" s="30" t="s">
        <v>159</v>
      </c>
      <c r="E22" s="30" t="s">
        <v>160</v>
      </c>
      <c r="F22" s="30" t="s">
        <v>161</v>
      </c>
      <c r="G22" s="33" t="s">
        <v>146</v>
      </c>
      <c r="H22" s="44">
        <f>$K$5</f>
        <v>46412.0</v>
      </c>
      <c r="I22" s="44">
        <f>$K$6</f>
        <v>46430.0</v>
      </c>
      <c r="J22" s="33"/>
      <c r="K22" s="33" t="s">
        <v>245</v>
      </c>
      <c r="L22" s="33"/>
      <c r="M22" s="45" t="str">
        <f>IF(L22="Compliant",1,IF(L22="Partially Compliant",0.5,IF(L22="Non-Compliant",0,"")))</f>
        <v/>
      </c>
      <c r="N22" s="33"/>
      <c r="O22" s="33"/>
      <c r="P22" s="33"/>
      <c r="Q22" s="31"/>
    </row>
    <row r="23" spans="8:8" ht="35.05">
      <c r="A23" s="30" t="s">
        <v>1779</v>
      </c>
      <c r="B23" s="30" t="s">
        <v>162</v>
      </c>
      <c r="C23" s="30" t="s">
        <v>163</v>
      </c>
      <c r="D23" s="30" t="s">
        <v>164</v>
      </c>
      <c r="E23" s="30" t="s">
        <v>1780</v>
      </c>
      <c r="F23" s="30" t="s">
        <v>166</v>
      </c>
      <c r="G23" s="33" t="s">
        <v>146</v>
      </c>
      <c r="H23" s="44">
        <f>$K$5</f>
        <v>46412.0</v>
      </c>
      <c r="I23" s="44">
        <f>$K$6</f>
        <v>46430.0</v>
      </c>
      <c r="J23" s="33"/>
      <c r="K23" s="33" t="s">
        <v>245</v>
      </c>
      <c r="L23" s="33"/>
      <c r="M23" s="45" t="str">
        <f>IF(L23="Compliant",1,IF(L23="Partially Compliant",0.5,IF(L23="Non-Compliant",0,"")))</f>
        <v/>
      </c>
      <c r="N23" s="33"/>
      <c r="O23" s="33"/>
      <c r="P23" s="33"/>
      <c r="Q23" s="31"/>
    </row>
    <row r="24" spans="8:8" ht="35.05">
      <c r="A24" s="30" t="s">
        <v>1781</v>
      </c>
      <c r="B24" s="30" t="s">
        <v>167</v>
      </c>
      <c r="C24" s="30" t="s">
        <v>168</v>
      </c>
      <c r="D24" s="30" t="s">
        <v>169</v>
      </c>
      <c r="E24" s="30" t="s">
        <v>1782</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1783</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1784</v>
      </c>
      <c r="B26" s="30" t="s">
        <v>177</v>
      </c>
      <c r="C26" s="30" t="s">
        <v>178</v>
      </c>
      <c r="D26" s="30" t="s">
        <v>1785</v>
      </c>
      <c r="E26" s="30" t="s">
        <v>1786</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1787</v>
      </c>
      <c r="B27" s="30" t="s">
        <v>182</v>
      </c>
      <c r="C27" s="30" t="s">
        <v>183</v>
      </c>
      <c r="D27" s="30" t="s">
        <v>184</v>
      </c>
      <c r="E27" s="30" t="s">
        <v>1788</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1789</v>
      </c>
      <c r="B28" s="30" t="s">
        <v>187</v>
      </c>
      <c r="C28" s="30" t="s">
        <v>188</v>
      </c>
      <c r="D28" s="30" t="s">
        <v>189</v>
      </c>
      <c r="E28" s="30" t="s">
        <v>1790</v>
      </c>
      <c r="F28" s="30" t="s">
        <v>191</v>
      </c>
      <c r="G28" s="33" t="s">
        <v>146</v>
      </c>
      <c r="H28" s="44">
        <f>$K$5</f>
        <v>46412.0</v>
      </c>
      <c r="I28" s="44">
        <f>$K$6</f>
        <v>46430.0</v>
      </c>
      <c r="J28" s="33"/>
      <c r="K28" s="33" t="s">
        <v>245</v>
      </c>
      <c r="L28" s="33"/>
      <c r="M28" s="45" t="str">
        <f>IF(L28="Compliant",1,IF(L28="Partially Compliant",0.5,IF(L28="Non-Compliant",0,"")))</f>
        <v/>
      </c>
      <c r="N28" s="33"/>
      <c r="O28" s="33"/>
      <c r="P28" s="33"/>
      <c r="Q28" s="31"/>
    </row>
    <row r="29" spans="8:8" ht="35.05">
      <c r="A29" s="30" t="s">
        <v>1791</v>
      </c>
      <c r="B29" s="30" t="s">
        <v>192</v>
      </c>
      <c r="C29" s="30" t="s">
        <v>193</v>
      </c>
      <c r="D29" s="30" t="s">
        <v>194</v>
      </c>
      <c r="E29" s="30" t="s">
        <v>1792</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1793</v>
      </c>
      <c r="B30" s="30" t="s">
        <v>197</v>
      </c>
      <c r="C30" s="30" t="s">
        <v>198</v>
      </c>
      <c r="D30" s="30" t="s">
        <v>199</v>
      </c>
      <c r="E30" s="30" t="s">
        <v>1794</v>
      </c>
      <c r="F30" s="30" t="s">
        <v>201</v>
      </c>
      <c r="G30" s="33" t="s">
        <v>146</v>
      </c>
      <c r="H30" s="44">
        <f>$K$5</f>
        <v>46412.0</v>
      </c>
      <c r="I30" s="44">
        <f>$K$6</f>
        <v>46430.0</v>
      </c>
      <c r="J30" s="33"/>
      <c r="K30" s="33" t="s">
        <v>245</v>
      </c>
      <c r="L30" s="33"/>
      <c r="M30" s="45" t="str">
        <f>IF(L30="Compliant",1,IF(L30="Partially Compliant",0.5,IF(L30="Non-Compliant",0,"")))</f>
        <v/>
      </c>
      <c r="N30" s="33"/>
      <c r="O30" s="33"/>
      <c r="P30" s="33"/>
      <c r="Q30" s="31"/>
    </row>
    <row r="31" spans="8:8" ht="35.05">
      <c r="A31" s="30" t="s">
        <v>1795</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1796</v>
      </c>
      <c r="B32" s="30" t="s">
        <v>208</v>
      </c>
      <c r="C32" s="30" t="s">
        <v>209</v>
      </c>
      <c r="D32" s="30" t="s">
        <v>210</v>
      </c>
      <c r="E32" s="30" t="s">
        <v>1797</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1798</v>
      </c>
      <c r="B33" s="30" t="s">
        <v>213</v>
      </c>
      <c r="C33" s="30" t="s">
        <v>214</v>
      </c>
      <c r="D33" s="30" t="s">
        <v>215</v>
      </c>
      <c r="E33" s="30" t="s">
        <v>1799</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1800</v>
      </c>
      <c r="B34" s="30" t="s">
        <v>218</v>
      </c>
      <c r="C34" s="30" t="s">
        <v>219</v>
      </c>
      <c r="D34" s="30" t="s">
        <v>220</v>
      </c>
      <c r="E34" s="30" t="s">
        <v>1801</v>
      </c>
      <c r="F34" s="30" t="s">
        <v>222</v>
      </c>
      <c r="G34" s="33" t="s">
        <v>146</v>
      </c>
      <c r="H34" s="44">
        <f>$K$5</f>
        <v>46412.0</v>
      </c>
      <c r="I34" s="44">
        <f>$K$6</f>
        <v>46430.0</v>
      </c>
      <c r="J34" s="33"/>
      <c r="K34" s="33" t="s">
        <v>245</v>
      </c>
      <c r="L34" s="33"/>
      <c r="M34" s="45" t="str">
        <f>IF(L34="Compliant",1,IF(L34="Partially Compliant",0.5,IF(L34="Non-Compliant",0,"")))</f>
        <v/>
      </c>
      <c r="N34" s="33"/>
      <c r="O34" s="33"/>
      <c r="P34" s="33"/>
      <c r="Q34" s="31"/>
    </row>
    <row r="35" spans="8:8" ht="35.05">
      <c r="A35" s="30" t="s">
        <v>1802</v>
      </c>
      <c r="B35" s="30" t="s">
        <v>223</v>
      </c>
      <c r="C35" s="30" t="s">
        <v>224</v>
      </c>
      <c r="D35" s="30" t="s">
        <v>225</v>
      </c>
      <c r="E35" s="30" t="s">
        <v>1803</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1804</v>
      </c>
      <c r="B36" s="30" t="s">
        <v>228</v>
      </c>
      <c r="C36" s="30" t="s">
        <v>229</v>
      </c>
      <c r="D36" s="30" t="s">
        <v>230</v>
      </c>
      <c r="E36" s="30" t="s">
        <v>1805</v>
      </c>
      <c r="F36" s="30" t="s">
        <v>232</v>
      </c>
      <c r="G36" s="33" t="s">
        <v>146</v>
      </c>
      <c r="H36" s="44">
        <f>$K$5</f>
        <v>46412.0</v>
      </c>
      <c r="I36" s="44">
        <f>$K$6</f>
        <v>46430.0</v>
      </c>
      <c r="J36" s="33"/>
      <c r="K36" s="33" t="s">
        <v>245</v>
      </c>
      <c r="L36" s="33"/>
      <c r="M36" s="45" t="str">
        <f>IF(L36="Compliant",1,IF(L36="Partially Compliant",0.5,IF(L36="Non-Compliant",0,"")))</f>
        <v/>
      </c>
      <c r="N36" s="33"/>
      <c r="O36" s="33"/>
      <c r="P36" s="33"/>
      <c r="Q36" s="31"/>
    </row>
    <row r="37" spans="8:8" ht="35.05">
      <c r="A37" s="30" t="s">
        <v>1806</v>
      </c>
      <c r="B37" s="43" t="s">
        <v>1807</v>
      </c>
      <c r="C37" s="30" t="s">
        <v>1808</v>
      </c>
      <c r="D37" s="30" t="s">
        <v>1809</v>
      </c>
      <c r="E37" s="30" t="s">
        <v>1810</v>
      </c>
      <c r="F37" s="30" t="s">
        <v>1811</v>
      </c>
      <c r="G37" s="33" t="s">
        <v>146</v>
      </c>
      <c r="H37" s="44">
        <f>$K$5</f>
        <v>46412.0</v>
      </c>
      <c r="I37" s="44">
        <f>$K$6</f>
        <v>46430.0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99">
      <formula>"Partially Compliant"</formula>
    </cfRule>
    <cfRule type="cellIs" operator="equal" priority="4" dxfId="100">
      <formula>"Non-Compliant"</formula>
    </cfRule>
    <cfRule type="cellIs" operator="equal" priority="2" dxfId="101">
      <formula>"Compliant"</formula>
    </cfRule>
  </conditionalFormatting>
  <conditionalFormatting sqref="G15:G37">
    <cfRule type="cellIs" operator="equal" priority="5" dxfId="102">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0.xml><?xml version="1.0" encoding="utf-8"?>
<worksheet xmlns:r="http://schemas.openxmlformats.org/officeDocument/2006/relationships" xmlns="http://schemas.openxmlformats.org/spreadsheetml/2006/main">
  <sheetPr>
    <tabColor rgb="FFC55A11"/>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1812</v>
      </c>
      <c r="N1" s="34" t="s">
        <v>277</v>
      </c>
    </row>
    <row r="2" spans="8:8" ht="15.0">
      <c r="A2" s="12" t="s">
        <v>278</v>
      </c>
    </row>
    <row r="4" spans="8:8" ht="15.75" customHeight="1">
      <c r="A4" s="35" t="s">
        <v>59</v>
      </c>
      <c r="B4" s="35"/>
      <c r="C4" s="36" t="s">
        <v>99</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1813</v>
      </c>
      <c r="D8" s="36"/>
      <c r="E8" s="36"/>
      <c r="F8" s="36"/>
      <c r="H8" s="35" t="s">
        <v>34</v>
      </c>
      <c r="I8" s="35"/>
      <c r="J8" s="35"/>
      <c r="K8" s="40">
        <f>COUNTIF(K15:K37,"Completed")</f>
        <v>0.0</v>
      </c>
    </row>
    <row r="9" spans="8:8" ht="15.75" customHeight="1">
      <c r="A9" s="35" t="s">
        <v>287</v>
      </c>
      <c r="B9" s="35"/>
      <c r="C9" s="36" t="s">
        <v>1814</v>
      </c>
      <c r="D9" s="36"/>
      <c r="E9" s="36"/>
      <c r="F9" s="36"/>
      <c r="H9" s="35" t="s">
        <v>64</v>
      </c>
      <c r="I9" s="35"/>
      <c r="J9" s="35"/>
      <c r="K9" s="40">
        <f>COUNTIF(L15:L37,"Compliant")</f>
        <v>0.0</v>
      </c>
    </row>
    <row r="10" spans="8:8" ht="15.75" customHeight="1">
      <c r="A10" s="35" t="s">
        <v>289</v>
      </c>
      <c r="B10" s="35"/>
      <c r="C10" s="36" t="s">
        <v>1815</v>
      </c>
      <c r="D10" s="36"/>
      <c r="E10" s="36"/>
      <c r="F10" s="36"/>
      <c r="H10" s="35" t="s">
        <v>36</v>
      </c>
      <c r="I10" s="35"/>
      <c r="J10" s="35"/>
      <c r="K10" s="40">
        <f>COUNTIF(L15:L37,"Partially Compliant")</f>
        <v>0.0</v>
      </c>
    </row>
    <row r="11" spans="8:8" ht="15.75" customHeight="1">
      <c r="A11" s="35" t="s">
        <v>291</v>
      </c>
      <c r="B11" s="35"/>
      <c r="C11" s="39" t="s">
        <v>146</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1816</v>
      </c>
      <c r="B15" s="30" t="s">
        <v>122</v>
      </c>
      <c r="C15" s="30" t="s">
        <v>123</v>
      </c>
      <c r="D15" s="30" t="s">
        <v>124</v>
      </c>
      <c r="E15" s="30" t="s">
        <v>1817</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1818</v>
      </c>
      <c r="B16" s="30" t="s">
        <v>127</v>
      </c>
      <c r="C16" s="30" t="s">
        <v>128</v>
      </c>
      <c r="D16" s="30" t="s">
        <v>129</v>
      </c>
      <c r="E16" s="30" t="s">
        <v>1819</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1820</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1821</v>
      </c>
      <c r="B18" s="30" t="s">
        <v>28</v>
      </c>
      <c r="C18" s="30" t="s">
        <v>137</v>
      </c>
      <c r="D18" s="30" t="s">
        <v>138</v>
      </c>
      <c r="E18" s="30" t="s">
        <v>1822</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1823</v>
      </c>
      <c r="B19" s="30" t="s">
        <v>141</v>
      </c>
      <c r="C19" s="30" t="s">
        <v>142</v>
      </c>
      <c r="D19" s="30" t="s">
        <v>143</v>
      </c>
      <c r="E19" s="30" t="s">
        <v>1824</v>
      </c>
      <c r="F19" s="30" t="s">
        <v>145</v>
      </c>
      <c r="G19" s="33" t="s">
        <v>146</v>
      </c>
      <c r="H19" s="44">
        <f>$K$5</f>
        <v>46412.0</v>
      </c>
      <c r="I19" s="44">
        <f>$K$6</f>
        <v>46430.0</v>
      </c>
      <c r="J19" s="33"/>
      <c r="K19" s="33" t="s">
        <v>245</v>
      </c>
      <c r="L19" s="33"/>
      <c r="M19" s="45" t="str">
        <f>IF(L19="Compliant",1,IF(L19="Partially Compliant",0.5,IF(L19="Non-Compliant",0,"")))</f>
        <v/>
      </c>
      <c r="N19" s="33"/>
      <c r="O19" s="33"/>
      <c r="P19" s="33"/>
      <c r="Q19" s="31"/>
    </row>
    <row r="20" spans="8:8" ht="35.05">
      <c r="A20" s="30" t="s">
        <v>1825</v>
      </c>
      <c r="B20" s="30" t="s">
        <v>147</v>
      </c>
      <c r="C20" s="30" t="s">
        <v>148</v>
      </c>
      <c r="D20" s="30" t="s">
        <v>149</v>
      </c>
      <c r="E20" s="30" t="s">
        <v>1826</v>
      </c>
      <c r="F20" s="30" t="s">
        <v>151</v>
      </c>
      <c r="G20" s="33" t="s">
        <v>146</v>
      </c>
      <c r="H20" s="44">
        <f>$K$5</f>
        <v>46412.0</v>
      </c>
      <c r="I20" s="44">
        <f>$K$6</f>
        <v>46430.0</v>
      </c>
      <c r="J20" s="33"/>
      <c r="K20" s="33" t="s">
        <v>245</v>
      </c>
      <c r="L20" s="33"/>
      <c r="M20" s="45" t="str">
        <f>IF(L20="Compliant",1,IF(L20="Partially Compliant",0.5,IF(L20="Non-Compliant",0,"")))</f>
        <v/>
      </c>
      <c r="N20" s="33"/>
      <c r="O20" s="33"/>
      <c r="P20" s="33"/>
      <c r="Q20" s="31"/>
    </row>
    <row r="21" spans="8:8" ht="35.05">
      <c r="A21" s="30" t="s">
        <v>1827</v>
      </c>
      <c r="B21" s="30" t="s">
        <v>152</v>
      </c>
      <c r="C21" s="30" t="s">
        <v>153</v>
      </c>
      <c r="D21" s="30" t="s">
        <v>154</v>
      </c>
      <c r="E21" s="30" t="s">
        <v>155</v>
      </c>
      <c r="F21" s="30" t="s">
        <v>156</v>
      </c>
      <c r="G21" s="33" t="s">
        <v>146</v>
      </c>
      <c r="H21" s="44">
        <f>$K$5</f>
        <v>46412.0</v>
      </c>
      <c r="I21" s="44">
        <f>$K$6</f>
        <v>46430.0</v>
      </c>
      <c r="J21" s="33"/>
      <c r="K21" s="33" t="s">
        <v>245</v>
      </c>
      <c r="L21" s="33"/>
      <c r="M21" s="45" t="str">
        <f>IF(L21="Compliant",1,IF(L21="Partially Compliant",0.5,IF(L21="Non-Compliant",0,"")))</f>
        <v/>
      </c>
      <c r="N21" s="33"/>
      <c r="O21" s="33"/>
      <c r="P21" s="33"/>
      <c r="Q21" s="31"/>
    </row>
    <row r="22" spans="8:8" ht="35.05">
      <c r="A22" s="30" t="s">
        <v>1828</v>
      </c>
      <c r="B22" s="30" t="s">
        <v>157</v>
      </c>
      <c r="C22" s="30" t="s">
        <v>158</v>
      </c>
      <c r="D22" s="30" t="s">
        <v>159</v>
      </c>
      <c r="E22" s="30" t="s">
        <v>160</v>
      </c>
      <c r="F22" s="30" t="s">
        <v>161</v>
      </c>
      <c r="G22" s="33" t="s">
        <v>146</v>
      </c>
      <c r="H22" s="44">
        <f>$K$5</f>
        <v>46412.0</v>
      </c>
      <c r="I22" s="44">
        <f>$K$6</f>
        <v>46430.0</v>
      </c>
      <c r="J22" s="33"/>
      <c r="K22" s="33" t="s">
        <v>245</v>
      </c>
      <c r="L22" s="33"/>
      <c r="M22" s="45" t="str">
        <f>IF(L22="Compliant",1,IF(L22="Partially Compliant",0.5,IF(L22="Non-Compliant",0,"")))</f>
        <v/>
      </c>
      <c r="N22" s="33"/>
      <c r="O22" s="33"/>
      <c r="P22" s="33"/>
      <c r="Q22" s="31"/>
    </row>
    <row r="23" spans="8:8" ht="35.05">
      <c r="A23" s="30" t="s">
        <v>1829</v>
      </c>
      <c r="B23" s="30" t="s">
        <v>162</v>
      </c>
      <c r="C23" s="30" t="s">
        <v>163</v>
      </c>
      <c r="D23" s="30" t="s">
        <v>164</v>
      </c>
      <c r="E23" s="30" t="s">
        <v>1830</v>
      </c>
      <c r="F23" s="30" t="s">
        <v>166</v>
      </c>
      <c r="G23" s="33" t="s">
        <v>146</v>
      </c>
      <c r="H23" s="44">
        <f>$K$5</f>
        <v>46412.0</v>
      </c>
      <c r="I23" s="44">
        <f>$K$6</f>
        <v>46430.0</v>
      </c>
      <c r="J23" s="33"/>
      <c r="K23" s="33" t="s">
        <v>245</v>
      </c>
      <c r="L23" s="33"/>
      <c r="M23" s="45" t="str">
        <f>IF(L23="Compliant",1,IF(L23="Partially Compliant",0.5,IF(L23="Non-Compliant",0,"")))</f>
        <v/>
      </c>
      <c r="N23" s="33"/>
      <c r="O23" s="33"/>
      <c r="P23" s="33"/>
      <c r="Q23" s="31"/>
    </row>
    <row r="24" spans="8:8" ht="23.85">
      <c r="A24" s="30" t="s">
        <v>1831</v>
      </c>
      <c r="B24" s="30" t="s">
        <v>167</v>
      </c>
      <c r="C24" s="30" t="s">
        <v>168</v>
      </c>
      <c r="D24" s="30" t="s">
        <v>169</v>
      </c>
      <c r="E24" s="30" t="s">
        <v>1832</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1833</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1834</v>
      </c>
      <c r="B26" s="30" t="s">
        <v>177</v>
      </c>
      <c r="C26" s="30" t="s">
        <v>178</v>
      </c>
      <c r="D26" s="30" t="s">
        <v>1835</v>
      </c>
      <c r="E26" s="30" t="s">
        <v>1836</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1837</v>
      </c>
      <c r="B27" s="30" t="s">
        <v>182</v>
      </c>
      <c r="C27" s="30" t="s">
        <v>183</v>
      </c>
      <c r="D27" s="30" t="s">
        <v>184</v>
      </c>
      <c r="E27" s="30" t="s">
        <v>1838</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1839</v>
      </c>
      <c r="B28" s="30" t="s">
        <v>187</v>
      </c>
      <c r="C28" s="30" t="s">
        <v>188</v>
      </c>
      <c r="D28" s="30" t="s">
        <v>189</v>
      </c>
      <c r="E28" s="30" t="s">
        <v>1840</v>
      </c>
      <c r="F28" s="30" t="s">
        <v>191</v>
      </c>
      <c r="G28" s="33" t="s">
        <v>146</v>
      </c>
      <c r="H28" s="44">
        <f>$K$5</f>
        <v>46412.0</v>
      </c>
      <c r="I28" s="44">
        <f>$K$6</f>
        <v>46430.0</v>
      </c>
      <c r="J28" s="33"/>
      <c r="K28" s="33" t="s">
        <v>245</v>
      </c>
      <c r="L28" s="33"/>
      <c r="M28" s="45" t="str">
        <f>IF(L28="Compliant",1,IF(L28="Partially Compliant",0.5,IF(L28="Non-Compliant",0,"")))</f>
        <v/>
      </c>
      <c r="N28" s="33"/>
      <c r="O28" s="33"/>
      <c r="P28" s="33"/>
      <c r="Q28" s="31"/>
    </row>
    <row r="29" spans="8:8" ht="35.05">
      <c r="A29" s="30" t="s">
        <v>1841</v>
      </c>
      <c r="B29" s="30" t="s">
        <v>192</v>
      </c>
      <c r="C29" s="30" t="s">
        <v>193</v>
      </c>
      <c r="D29" s="30" t="s">
        <v>194</v>
      </c>
      <c r="E29" s="30" t="s">
        <v>1842</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1843</v>
      </c>
      <c r="B30" s="30" t="s">
        <v>197</v>
      </c>
      <c r="C30" s="30" t="s">
        <v>198</v>
      </c>
      <c r="D30" s="30" t="s">
        <v>199</v>
      </c>
      <c r="E30" s="30" t="s">
        <v>1844</v>
      </c>
      <c r="F30" s="30" t="s">
        <v>201</v>
      </c>
      <c r="G30" s="33" t="s">
        <v>146</v>
      </c>
      <c r="H30" s="44">
        <f>$K$5</f>
        <v>46412.0</v>
      </c>
      <c r="I30" s="44">
        <f>$K$6</f>
        <v>46430.0</v>
      </c>
      <c r="J30" s="33"/>
      <c r="K30" s="33" t="s">
        <v>245</v>
      </c>
      <c r="L30" s="33"/>
      <c r="M30" s="45" t="str">
        <f>IF(L30="Compliant",1,IF(L30="Partially Compliant",0.5,IF(L30="Non-Compliant",0,"")))</f>
        <v/>
      </c>
      <c r="N30" s="33"/>
      <c r="O30" s="33"/>
      <c r="P30" s="33"/>
      <c r="Q30" s="31"/>
    </row>
    <row r="31" spans="8:8" ht="35.05">
      <c r="A31" s="30" t="s">
        <v>1845</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1846</v>
      </c>
      <c r="B32" s="30" t="s">
        <v>208</v>
      </c>
      <c r="C32" s="30" t="s">
        <v>209</v>
      </c>
      <c r="D32" s="30" t="s">
        <v>210</v>
      </c>
      <c r="E32" s="30" t="s">
        <v>1847</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1848</v>
      </c>
      <c r="B33" s="30" t="s">
        <v>213</v>
      </c>
      <c r="C33" s="30" t="s">
        <v>214</v>
      </c>
      <c r="D33" s="30" t="s">
        <v>215</v>
      </c>
      <c r="E33" s="30" t="s">
        <v>1849</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1850</v>
      </c>
      <c r="B34" s="30" t="s">
        <v>218</v>
      </c>
      <c r="C34" s="30" t="s">
        <v>219</v>
      </c>
      <c r="D34" s="30" t="s">
        <v>220</v>
      </c>
      <c r="E34" s="30" t="s">
        <v>1851</v>
      </c>
      <c r="F34" s="30" t="s">
        <v>222</v>
      </c>
      <c r="G34" s="33" t="s">
        <v>146</v>
      </c>
      <c r="H34" s="44">
        <f>$K$5</f>
        <v>46412.0</v>
      </c>
      <c r="I34" s="44">
        <f>$K$6</f>
        <v>46430.0</v>
      </c>
      <c r="J34" s="33"/>
      <c r="K34" s="33" t="s">
        <v>245</v>
      </c>
      <c r="L34" s="33"/>
      <c r="M34" s="45" t="str">
        <f>IF(L34="Compliant",1,IF(L34="Partially Compliant",0.5,IF(L34="Non-Compliant",0,"")))</f>
        <v/>
      </c>
      <c r="N34" s="33"/>
      <c r="O34" s="33"/>
      <c r="P34" s="33"/>
      <c r="Q34" s="31"/>
    </row>
    <row r="35" spans="8:8" ht="35.05">
      <c r="A35" s="30" t="s">
        <v>1852</v>
      </c>
      <c r="B35" s="30" t="s">
        <v>223</v>
      </c>
      <c r="C35" s="30" t="s">
        <v>224</v>
      </c>
      <c r="D35" s="30" t="s">
        <v>225</v>
      </c>
      <c r="E35" s="30" t="s">
        <v>1853</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1854</v>
      </c>
      <c r="B36" s="30" t="s">
        <v>228</v>
      </c>
      <c r="C36" s="30" t="s">
        <v>229</v>
      </c>
      <c r="D36" s="30" t="s">
        <v>230</v>
      </c>
      <c r="E36" s="30" t="s">
        <v>1855</v>
      </c>
      <c r="F36" s="30" t="s">
        <v>232</v>
      </c>
      <c r="G36" s="33" t="s">
        <v>146</v>
      </c>
      <c r="H36" s="44">
        <f>$K$5</f>
        <v>46412.0</v>
      </c>
      <c r="I36" s="44">
        <f>$K$6</f>
        <v>46430.0</v>
      </c>
      <c r="J36" s="33"/>
      <c r="K36" s="33" t="s">
        <v>245</v>
      </c>
      <c r="L36" s="33"/>
      <c r="M36" s="45" t="str">
        <f>IF(L36="Compliant",1,IF(L36="Partially Compliant",0.5,IF(L36="Non-Compliant",0,"")))</f>
        <v/>
      </c>
      <c r="N36" s="33"/>
      <c r="O36" s="33"/>
      <c r="P36" s="33"/>
      <c r="Q36" s="31"/>
    </row>
    <row r="37" spans="8:8" ht="35.05">
      <c r="A37" s="30" t="s">
        <v>1856</v>
      </c>
      <c r="B37" s="43" t="s">
        <v>1857</v>
      </c>
      <c r="C37" s="30" t="s">
        <v>128</v>
      </c>
      <c r="D37" s="30" t="s">
        <v>1858</v>
      </c>
      <c r="E37" s="30" t="s">
        <v>1859</v>
      </c>
      <c r="F37" s="30" t="s">
        <v>1860</v>
      </c>
      <c r="G37" s="33" t="s">
        <v>146</v>
      </c>
      <c r="H37" s="44">
        <f>$K$5</f>
        <v>46412.0</v>
      </c>
      <c r="I37" s="44">
        <f>$K$6</f>
        <v>46430.0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103">
      <formula>"Partially Compliant"</formula>
    </cfRule>
    <cfRule type="cellIs" operator="equal" priority="4" dxfId="104">
      <formula>"Non-Compliant"</formula>
    </cfRule>
    <cfRule type="cellIs" operator="equal" priority="2" dxfId="105">
      <formula>"Compliant"</formula>
    </cfRule>
  </conditionalFormatting>
  <conditionalFormatting sqref="G15:G37">
    <cfRule type="cellIs" operator="equal" priority="5" dxfId="106">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1.xml><?xml version="1.0" encoding="utf-8"?>
<worksheet xmlns:r="http://schemas.openxmlformats.org/officeDocument/2006/relationships" xmlns="http://schemas.openxmlformats.org/spreadsheetml/2006/main">
  <sheetPr>
    <tabColor rgb="FFC55A11"/>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1861</v>
      </c>
      <c r="N1" s="34" t="s">
        <v>277</v>
      </c>
    </row>
    <row r="2" spans="8:8" ht="15.0">
      <c r="A2" s="12" t="s">
        <v>278</v>
      </c>
    </row>
    <row r="4" spans="8:8" ht="15.75" customHeight="1">
      <c r="A4" s="35" t="s">
        <v>59</v>
      </c>
      <c r="B4" s="35"/>
      <c r="C4" s="36" t="s">
        <v>100</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1862</v>
      </c>
      <c r="D8" s="36"/>
      <c r="E8" s="36"/>
      <c r="F8" s="36"/>
      <c r="H8" s="35" t="s">
        <v>34</v>
      </c>
      <c r="I8" s="35"/>
      <c r="J8" s="35"/>
      <c r="K8" s="40">
        <f>COUNTIF(K15:K38,"Completed")</f>
        <v>0.0</v>
      </c>
    </row>
    <row r="9" spans="8:8" ht="27.75" customHeight="1">
      <c r="A9" s="35" t="s">
        <v>287</v>
      </c>
      <c r="B9" s="35"/>
      <c r="C9" s="36" t="s">
        <v>1863</v>
      </c>
      <c r="D9" s="36"/>
      <c r="E9" s="36"/>
      <c r="F9" s="36"/>
      <c r="H9" s="35" t="s">
        <v>64</v>
      </c>
      <c r="I9" s="35"/>
      <c r="J9" s="35"/>
      <c r="K9" s="40">
        <f>COUNTIF(L15:L38,"Compliant")</f>
        <v>0.0</v>
      </c>
    </row>
    <row r="10" spans="8:8" ht="15.75" customHeight="1">
      <c r="A10" s="35" t="s">
        <v>289</v>
      </c>
      <c r="B10" s="35"/>
      <c r="C10" s="36" t="s">
        <v>1864</v>
      </c>
      <c r="D10" s="36"/>
      <c r="E10" s="36"/>
      <c r="F10" s="36"/>
      <c r="H10" s="35" t="s">
        <v>36</v>
      </c>
      <c r="I10" s="35"/>
      <c r="J10" s="35"/>
      <c r="K10" s="40">
        <f>COUNTIF(L15:L38,"Partially Compliant")</f>
        <v>0.0</v>
      </c>
    </row>
    <row r="11" spans="8:8" ht="15.75" customHeight="1">
      <c r="A11" s="35" t="s">
        <v>291</v>
      </c>
      <c r="B11" s="35"/>
      <c r="C11" s="39" t="s">
        <v>30</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1865</v>
      </c>
      <c r="B15" s="30" t="s">
        <v>122</v>
      </c>
      <c r="C15" s="30" t="s">
        <v>123</v>
      </c>
      <c r="D15" s="30" t="s">
        <v>124</v>
      </c>
      <c r="E15" s="30" t="s">
        <v>1866</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1867</v>
      </c>
      <c r="B16" s="30" t="s">
        <v>127</v>
      </c>
      <c r="C16" s="30" t="s">
        <v>128</v>
      </c>
      <c r="D16" s="30" t="s">
        <v>129</v>
      </c>
      <c r="E16" s="30" t="s">
        <v>1868</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1869</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1870</v>
      </c>
      <c r="B18" s="30" t="s">
        <v>28</v>
      </c>
      <c r="C18" s="30" t="s">
        <v>137</v>
      </c>
      <c r="D18" s="30" t="s">
        <v>138</v>
      </c>
      <c r="E18" s="30" t="s">
        <v>1871</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1872</v>
      </c>
      <c r="B19" s="30" t="s">
        <v>141</v>
      </c>
      <c r="C19" s="30" t="s">
        <v>142</v>
      </c>
      <c r="D19" s="30" t="s">
        <v>143</v>
      </c>
      <c r="E19" s="30" t="s">
        <v>1873</v>
      </c>
      <c r="F19" s="30" t="s">
        <v>145</v>
      </c>
      <c r="G19" s="33" t="s">
        <v>30</v>
      </c>
      <c r="H19" s="44">
        <f>$K$5</f>
        <v>46412.0</v>
      </c>
      <c r="I19" s="44">
        <f>$K$6</f>
        <v>46430.0</v>
      </c>
      <c r="J19" s="33"/>
      <c r="K19" s="33" t="s">
        <v>245</v>
      </c>
      <c r="L19" s="33"/>
      <c r="M19" s="45" t="str">
        <f>IF(L19="Compliant",1,IF(L19="Partially Compliant",0.5,IF(L19="Non-Compliant",0,"")))</f>
        <v/>
      </c>
      <c r="N19" s="33"/>
      <c r="O19" s="33"/>
      <c r="P19" s="33"/>
      <c r="Q19" s="31"/>
    </row>
    <row r="20" spans="8:8" ht="46.25">
      <c r="A20" s="30" t="s">
        <v>1874</v>
      </c>
      <c r="B20" s="30" t="s">
        <v>147</v>
      </c>
      <c r="C20" s="30" t="s">
        <v>148</v>
      </c>
      <c r="D20" s="30" t="s">
        <v>149</v>
      </c>
      <c r="E20" s="30" t="s">
        <v>1875</v>
      </c>
      <c r="F20" s="30" t="s">
        <v>151</v>
      </c>
      <c r="G20" s="33" t="s">
        <v>30</v>
      </c>
      <c r="H20" s="44">
        <f>$K$5</f>
        <v>46412.0</v>
      </c>
      <c r="I20" s="44">
        <f>$K$6</f>
        <v>46430.0</v>
      </c>
      <c r="J20" s="33"/>
      <c r="K20" s="33" t="s">
        <v>245</v>
      </c>
      <c r="L20" s="33"/>
      <c r="M20" s="45" t="str">
        <f>IF(L20="Compliant",1,IF(L20="Partially Compliant",0.5,IF(L20="Non-Compliant",0,"")))</f>
        <v/>
      </c>
      <c r="N20" s="33"/>
      <c r="O20" s="33"/>
      <c r="P20" s="33"/>
      <c r="Q20" s="31"/>
    </row>
    <row r="21" spans="8:8" ht="35.05">
      <c r="A21" s="30" t="s">
        <v>1876</v>
      </c>
      <c r="B21" s="30" t="s">
        <v>152</v>
      </c>
      <c r="C21" s="30" t="s">
        <v>153</v>
      </c>
      <c r="D21" s="30" t="s">
        <v>154</v>
      </c>
      <c r="E21" s="30" t="s">
        <v>155</v>
      </c>
      <c r="F21" s="30" t="s">
        <v>156</v>
      </c>
      <c r="G21" s="33" t="s">
        <v>30</v>
      </c>
      <c r="H21" s="44">
        <f>$K$5</f>
        <v>46412.0</v>
      </c>
      <c r="I21" s="44">
        <f>$K$6</f>
        <v>46430.0</v>
      </c>
      <c r="J21" s="33"/>
      <c r="K21" s="33" t="s">
        <v>245</v>
      </c>
      <c r="L21" s="33"/>
      <c r="M21" s="45" t="str">
        <f>IF(L21="Compliant",1,IF(L21="Partially Compliant",0.5,IF(L21="Non-Compliant",0,"")))</f>
        <v/>
      </c>
      <c r="N21" s="33"/>
      <c r="O21" s="33"/>
      <c r="P21" s="33"/>
      <c r="Q21" s="31"/>
    </row>
    <row r="22" spans="8:8" ht="35.05">
      <c r="A22" s="30" t="s">
        <v>1877</v>
      </c>
      <c r="B22" s="30" t="s">
        <v>157</v>
      </c>
      <c r="C22" s="30" t="s">
        <v>158</v>
      </c>
      <c r="D22" s="30" t="s">
        <v>159</v>
      </c>
      <c r="E22" s="30" t="s">
        <v>160</v>
      </c>
      <c r="F22" s="30" t="s">
        <v>161</v>
      </c>
      <c r="G22" s="33" t="s">
        <v>30</v>
      </c>
      <c r="H22" s="44">
        <f>$K$5</f>
        <v>46412.0</v>
      </c>
      <c r="I22" s="44">
        <f>$K$6</f>
        <v>46430.0</v>
      </c>
      <c r="J22" s="33"/>
      <c r="K22" s="33" t="s">
        <v>245</v>
      </c>
      <c r="L22" s="33"/>
      <c r="M22" s="45" t="str">
        <f>IF(L22="Compliant",1,IF(L22="Partially Compliant",0.5,IF(L22="Non-Compliant",0,"")))</f>
        <v/>
      </c>
      <c r="N22" s="33"/>
      <c r="O22" s="33"/>
      <c r="P22" s="33"/>
      <c r="Q22" s="31"/>
    </row>
    <row r="23" spans="8:8" ht="35.05">
      <c r="A23" s="30" t="s">
        <v>1878</v>
      </c>
      <c r="B23" s="30" t="s">
        <v>162</v>
      </c>
      <c r="C23" s="30" t="s">
        <v>163</v>
      </c>
      <c r="D23" s="30" t="s">
        <v>164</v>
      </c>
      <c r="E23" s="30" t="s">
        <v>1879</v>
      </c>
      <c r="F23" s="30" t="s">
        <v>166</v>
      </c>
      <c r="G23" s="33" t="s">
        <v>30</v>
      </c>
      <c r="H23" s="44">
        <f>$K$5</f>
        <v>46412.0</v>
      </c>
      <c r="I23" s="44">
        <f>$K$6</f>
        <v>46430.0</v>
      </c>
      <c r="J23" s="33"/>
      <c r="K23" s="33" t="s">
        <v>245</v>
      </c>
      <c r="L23" s="33"/>
      <c r="M23" s="45" t="str">
        <f>IF(L23="Compliant",1,IF(L23="Partially Compliant",0.5,IF(L23="Non-Compliant",0,"")))</f>
        <v/>
      </c>
      <c r="N23" s="33"/>
      <c r="O23" s="33"/>
      <c r="P23" s="33"/>
      <c r="Q23" s="31"/>
    </row>
    <row r="24" spans="8:8" ht="35.05">
      <c r="A24" s="30" t="s">
        <v>1880</v>
      </c>
      <c r="B24" s="30" t="s">
        <v>167</v>
      </c>
      <c r="C24" s="30" t="s">
        <v>168</v>
      </c>
      <c r="D24" s="30" t="s">
        <v>169</v>
      </c>
      <c r="E24" s="30" t="s">
        <v>1881</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1882</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1883</v>
      </c>
      <c r="B26" s="30" t="s">
        <v>177</v>
      </c>
      <c r="C26" s="30" t="s">
        <v>178</v>
      </c>
      <c r="D26" s="30" t="s">
        <v>1884</v>
      </c>
      <c r="E26" s="30" t="s">
        <v>1885</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1886</v>
      </c>
      <c r="B27" s="30" t="s">
        <v>182</v>
      </c>
      <c r="C27" s="30" t="s">
        <v>183</v>
      </c>
      <c r="D27" s="30" t="s">
        <v>184</v>
      </c>
      <c r="E27" s="30" t="s">
        <v>1887</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1888</v>
      </c>
      <c r="B28" s="30" t="s">
        <v>187</v>
      </c>
      <c r="C28" s="30" t="s">
        <v>188</v>
      </c>
      <c r="D28" s="30" t="s">
        <v>189</v>
      </c>
      <c r="E28" s="30" t="s">
        <v>1889</v>
      </c>
      <c r="F28" s="30" t="s">
        <v>191</v>
      </c>
      <c r="G28" s="33" t="s">
        <v>30</v>
      </c>
      <c r="H28" s="44">
        <f>$K$5</f>
        <v>46412.0</v>
      </c>
      <c r="I28" s="44">
        <f>$K$6</f>
        <v>46430.0</v>
      </c>
      <c r="J28" s="33"/>
      <c r="K28" s="33" t="s">
        <v>245</v>
      </c>
      <c r="L28" s="33"/>
      <c r="M28" s="45" t="str">
        <f>IF(L28="Compliant",1,IF(L28="Partially Compliant",0.5,IF(L28="Non-Compliant",0,"")))</f>
        <v/>
      </c>
      <c r="N28" s="33"/>
      <c r="O28" s="33"/>
      <c r="P28" s="33"/>
      <c r="Q28" s="31"/>
    </row>
    <row r="29" spans="8:8" ht="35.05">
      <c r="A29" s="30" t="s">
        <v>1890</v>
      </c>
      <c r="B29" s="30" t="s">
        <v>192</v>
      </c>
      <c r="C29" s="30" t="s">
        <v>193</v>
      </c>
      <c r="D29" s="30" t="s">
        <v>194</v>
      </c>
      <c r="E29" s="30" t="s">
        <v>1891</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1892</v>
      </c>
      <c r="B30" s="30" t="s">
        <v>197</v>
      </c>
      <c r="C30" s="30" t="s">
        <v>198</v>
      </c>
      <c r="D30" s="30" t="s">
        <v>199</v>
      </c>
      <c r="E30" s="30" t="s">
        <v>1893</v>
      </c>
      <c r="F30" s="30" t="s">
        <v>201</v>
      </c>
      <c r="G30" s="33" t="s">
        <v>30</v>
      </c>
      <c r="H30" s="44">
        <f>$K$5</f>
        <v>46412.0</v>
      </c>
      <c r="I30" s="44">
        <f>$K$6</f>
        <v>46430.0</v>
      </c>
      <c r="J30" s="33"/>
      <c r="K30" s="33" t="s">
        <v>245</v>
      </c>
      <c r="L30" s="33"/>
      <c r="M30" s="45" t="str">
        <f>IF(L30="Compliant",1,IF(L30="Partially Compliant",0.5,IF(L30="Non-Compliant",0,"")))</f>
        <v/>
      </c>
      <c r="N30" s="33"/>
      <c r="O30" s="33"/>
      <c r="P30" s="33"/>
      <c r="Q30" s="31"/>
    </row>
    <row r="31" spans="8:8" ht="35.05">
      <c r="A31" s="30" t="s">
        <v>1894</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1895</v>
      </c>
      <c r="B32" s="30" t="s">
        <v>208</v>
      </c>
      <c r="C32" s="30" t="s">
        <v>209</v>
      </c>
      <c r="D32" s="30" t="s">
        <v>210</v>
      </c>
      <c r="E32" s="30" t="s">
        <v>1896</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1897</v>
      </c>
      <c r="B33" s="30" t="s">
        <v>213</v>
      </c>
      <c r="C33" s="30" t="s">
        <v>214</v>
      </c>
      <c r="D33" s="30" t="s">
        <v>215</v>
      </c>
      <c r="E33" s="30" t="s">
        <v>1898</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1899</v>
      </c>
      <c r="B34" s="30" t="s">
        <v>218</v>
      </c>
      <c r="C34" s="30" t="s">
        <v>219</v>
      </c>
      <c r="D34" s="30" t="s">
        <v>220</v>
      </c>
      <c r="E34" s="30" t="s">
        <v>1900</v>
      </c>
      <c r="F34" s="30" t="s">
        <v>222</v>
      </c>
      <c r="G34" s="33" t="s">
        <v>30</v>
      </c>
      <c r="H34" s="44">
        <f>$K$5</f>
        <v>46412.0</v>
      </c>
      <c r="I34" s="44">
        <f>$K$6</f>
        <v>46430.0</v>
      </c>
      <c r="J34" s="33"/>
      <c r="K34" s="33" t="s">
        <v>245</v>
      </c>
      <c r="L34" s="33"/>
      <c r="M34" s="45" t="str">
        <f>IF(L34="Compliant",1,IF(L34="Partially Compliant",0.5,IF(L34="Non-Compliant",0,"")))</f>
        <v/>
      </c>
      <c r="N34" s="33"/>
      <c r="O34" s="33"/>
      <c r="P34" s="33"/>
      <c r="Q34" s="31"/>
    </row>
    <row r="35" spans="8:8" ht="35.05">
      <c r="A35" s="30" t="s">
        <v>1901</v>
      </c>
      <c r="B35" s="30" t="s">
        <v>223</v>
      </c>
      <c r="C35" s="30" t="s">
        <v>224</v>
      </c>
      <c r="D35" s="30" t="s">
        <v>225</v>
      </c>
      <c r="E35" s="30" t="s">
        <v>1902</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1903</v>
      </c>
      <c r="B36" s="30" t="s">
        <v>228</v>
      </c>
      <c r="C36" s="30" t="s">
        <v>229</v>
      </c>
      <c r="D36" s="30" t="s">
        <v>230</v>
      </c>
      <c r="E36" s="30" t="s">
        <v>1904</v>
      </c>
      <c r="F36" s="30" t="s">
        <v>232</v>
      </c>
      <c r="G36" s="33" t="s">
        <v>30</v>
      </c>
      <c r="H36" s="44">
        <f>$K$5</f>
        <v>46412.0</v>
      </c>
      <c r="I36" s="44">
        <f>$K$6</f>
        <v>46430.0</v>
      </c>
      <c r="J36" s="33"/>
      <c r="K36" s="33" t="s">
        <v>245</v>
      </c>
      <c r="L36" s="33"/>
      <c r="M36" s="45" t="str">
        <f>IF(L36="Compliant",1,IF(L36="Partially Compliant",0.5,IF(L36="Non-Compliant",0,"")))</f>
        <v/>
      </c>
      <c r="N36" s="33"/>
      <c r="O36" s="33"/>
      <c r="P36" s="33"/>
      <c r="Q36" s="31"/>
    </row>
    <row r="37" spans="8:8" ht="35.05">
      <c r="A37" s="30" t="s">
        <v>1905</v>
      </c>
      <c r="B37" s="43" t="s">
        <v>1906</v>
      </c>
      <c r="C37" s="30" t="s">
        <v>1907</v>
      </c>
      <c r="D37" s="30" t="s">
        <v>1908</v>
      </c>
      <c r="E37" s="30" t="s">
        <v>1909</v>
      </c>
      <c r="F37" s="30" t="s">
        <v>1910</v>
      </c>
      <c r="G37" s="33" t="s">
        <v>30</v>
      </c>
      <c r="H37" s="44">
        <f>$K$5</f>
        <v>46412.0</v>
      </c>
      <c r="I37" s="44">
        <f>$K$6</f>
        <v>46430.0</v>
      </c>
      <c r="J37" s="33"/>
      <c r="K37" s="33" t="s">
        <v>245</v>
      </c>
      <c r="L37" s="33"/>
      <c r="M37" s="45" t="str">
        <f>IF(L37="Compliant",1,IF(L37="Partially Compliant",0.5,IF(L37="Non-Compliant",0,"")))</f>
        <v/>
      </c>
      <c r="N37" s="33"/>
      <c r="O37" s="33"/>
      <c r="P37" s="33"/>
      <c r="Q37" s="31"/>
    </row>
    <row r="38" spans="8:8" ht="35.05">
      <c r="A38" s="30" t="s">
        <v>1911</v>
      </c>
      <c r="B38" s="43" t="s">
        <v>1912</v>
      </c>
      <c r="C38" s="30" t="s">
        <v>1913</v>
      </c>
      <c r="D38" s="30" t="s">
        <v>1914</v>
      </c>
      <c r="E38" s="30" t="s">
        <v>1915</v>
      </c>
      <c r="F38" s="30" t="s">
        <v>1916</v>
      </c>
      <c r="G38" s="33" t="s">
        <v>30</v>
      </c>
      <c r="H38" s="44">
        <f>$K$5</f>
        <v>46412.0</v>
      </c>
      <c r="I38" s="44">
        <f>$K$6</f>
        <v>46430.0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107">
      <formula>"Partially Compliant"</formula>
    </cfRule>
    <cfRule type="cellIs" operator="equal" priority="4" dxfId="108">
      <formula>"Non-Compliant"</formula>
    </cfRule>
    <cfRule type="cellIs" operator="equal" priority="2" dxfId="109">
      <formula>"Compliant"</formula>
    </cfRule>
  </conditionalFormatting>
  <conditionalFormatting sqref="G15:G38">
    <cfRule type="cellIs" operator="equal" priority="5" dxfId="110">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2.xml><?xml version="1.0" encoding="utf-8"?>
<worksheet xmlns:r="http://schemas.openxmlformats.org/officeDocument/2006/relationships" xmlns="http://schemas.openxmlformats.org/spreadsheetml/2006/main">
  <sheetPr>
    <tabColor rgb="FFC55A11"/>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1917</v>
      </c>
      <c r="N1" s="34" t="s">
        <v>277</v>
      </c>
    </row>
    <row r="2" spans="8:8" ht="15.0">
      <c r="A2" s="12" t="s">
        <v>278</v>
      </c>
    </row>
    <row r="4" spans="8:8" ht="15.75" customHeight="1">
      <c r="A4" s="35" t="s">
        <v>59</v>
      </c>
      <c r="B4" s="35"/>
      <c r="C4" s="36" t="s">
        <v>101</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1918</v>
      </c>
      <c r="D8" s="36"/>
      <c r="E8" s="36"/>
      <c r="F8" s="36"/>
      <c r="H8" s="35" t="s">
        <v>34</v>
      </c>
      <c r="I8" s="35"/>
      <c r="J8" s="35"/>
      <c r="K8" s="40">
        <f>COUNTIF(K15:K37,"Completed")</f>
        <v>0.0</v>
      </c>
    </row>
    <row r="9" spans="8:8" ht="15.75" customHeight="1">
      <c r="A9" s="35" t="s">
        <v>287</v>
      </c>
      <c r="B9" s="35"/>
      <c r="C9" s="36" t="s">
        <v>1919</v>
      </c>
      <c r="D9" s="36"/>
      <c r="E9" s="36"/>
      <c r="F9" s="36"/>
      <c r="H9" s="35" t="s">
        <v>64</v>
      </c>
      <c r="I9" s="35"/>
      <c r="J9" s="35"/>
      <c r="K9" s="40">
        <f>COUNTIF(L15:L37,"Compliant")</f>
        <v>0.0</v>
      </c>
    </row>
    <row r="10" spans="8:8" ht="15.75" customHeight="1">
      <c r="A10" s="35" t="s">
        <v>289</v>
      </c>
      <c r="B10" s="35"/>
      <c r="C10" s="36" t="s">
        <v>1920</v>
      </c>
      <c r="D10" s="36"/>
      <c r="E10" s="36"/>
      <c r="F10" s="36"/>
      <c r="H10" s="35" t="s">
        <v>36</v>
      </c>
      <c r="I10" s="35"/>
      <c r="J10" s="35"/>
      <c r="K10" s="40">
        <f>COUNTIF(L15:L37,"Partially Compliant")</f>
        <v>0.0</v>
      </c>
    </row>
    <row r="11" spans="8:8" ht="15.75" customHeight="1">
      <c r="A11" s="35" t="s">
        <v>291</v>
      </c>
      <c r="B11" s="35"/>
      <c r="C11" s="39" t="s">
        <v>207</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1921</v>
      </c>
      <c r="B15" s="30" t="s">
        <v>122</v>
      </c>
      <c r="C15" s="30" t="s">
        <v>123</v>
      </c>
      <c r="D15" s="30" t="s">
        <v>124</v>
      </c>
      <c r="E15" s="30" t="s">
        <v>1922</v>
      </c>
      <c r="F15" s="30" t="s">
        <v>126</v>
      </c>
      <c r="G15" s="33" t="s">
        <v>146</v>
      </c>
      <c r="H15" s="44">
        <f>$K$5</f>
        <v>46412.0</v>
      </c>
      <c r="I15" s="44">
        <f>$K$6</f>
        <v>46430.0</v>
      </c>
      <c r="J15" s="33"/>
      <c r="K15" s="33" t="s">
        <v>245</v>
      </c>
      <c r="L15" s="33"/>
      <c r="M15" s="45" t="str">
        <f>IF(L15="Compliant",1,IF(L15="Partially Compliant",0.5,IF(L15="Non-Compliant",0,"")))</f>
        <v/>
      </c>
      <c r="N15" s="33"/>
      <c r="O15" s="33"/>
      <c r="P15" s="33"/>
      <c r="Q15" s="31"/>
    </row>
    <row r="16" spans="8:8" ht="35.05">
      <c r="A16" s="30" t="s">
        <v>1923</v>
      </c>
      <c r="B16" s="30" t="s">
        <v>127</v>
      </c>
      <c r="C16" s="30" t="s">
        <v>128</v>
      </c>
      <c r="D16" s="30" t="s">
        <v>129</v>
      </c>
      <c r="E16" s="30" t="s">
        <v>1924</v>
      </c>
      <c r="F16" s="30" t="s">
        <v>131</v>
      </c>
      <c r="G16" s="33" t="s">
        <v>146</v>
      </c>
      <c r="H16" s="44">
        <f>$K$5</f>
        <v>46412.0</v>
      </c>
      <c r="I16" s="44">
        <f>$K$6</f>
        <v>46430.0</v>
      </c>
      <c r="J16" s="33"/>
      <c r="K16" s="33" t="s">
        <v>245</v>
      </c>
      <c r="L16" s="33"/>
      <c r="M16" s="45" t="str">
        <f>IF(L16="Compliant",1,IF(L16="Partially Compliant",0.5,IF(L16="Non-Compliant",0,"")))</f>
        <v/>
      </c>
      <c r="N16" s="33"/>
      <c r="O16" s="33"/>
      <c r="P16" s="33"/>
      <c r="Q16" s="31"/>
    </row>
    <row r="17" spans="8:8" ht="35.05">
      <c r="A17" s="30" t="s">
        <v>1925</v>
      </c>
      <c r="B17" s="30" t="s">
        <v>132</v>
      </c>
      <c r="C17" s="30" t="s">
        <v>133</v>
      </c>
      <c r="D17" s="30" t="s">
        <v>134</v>
      </c>
      <c r="E17" s="30" t="s">
        <v>135</v>
      </c>
      <c r="F17" s="30" t="s">
        <v>136</v>
      </c>
      <c r="G17" s="33" t="s">
        <v>146</v>
      </c>
      <c r="H17" s="44">
        <f>$K$5</f>
        <v>46412.0</v>
      </c>
      <c r="I17" s="44">
        <f>$K$6</f>
        <v>46430.0</v>
      </c>
      <c r="J17" s="33"/>
      <c r="K17" s="33" t="s">
        <v>245</v>
      </c>
      <c r="L17" s="33"/>
      <c r="M17" s="45" t="str">
        <f>IF(L17="Compliant",1,IF(L17="Partially Compliant",0.5,IF(L17="Non-Compliant",0,"")))</f>
        <v/>
      </c>
      <c r="N17" s="33"/>
      <c r="O17" s="33"/>
      <c r="P17" s="33"/>
      <c r="Q17" s="31"/>
    </row>
    <row r="18" spans="8:8" ht="57.45">
      <c r="A18" s="30" t="s">
        <v>1926</v>
      </c>
      <c r="B18" s="30" t="s">
        <v>28</v>
      </c>
      <c r="C18" s="30" t="s">
        <v>137</v>
      </c>
      <c r="D18" s="30" t="s">
        <v>138</v>
      </c>
      <c r="E18" s="30" t="s">
        <v>1927</v>
      </c>
      <c r="F18" s="30" t="s">
        <v>140</v>
      </c>
      <c r="G18" s="33" t="s">
        <v>146</v>
      </c>
      <c r="H18" s="44">
        <f>$K$5</f>
        <v>46412.0</v>
      </c>
      <c r="I18" s="44">
        <f>$K$6</f>
        <v>46430.0</v>
      </c>
      <c r="J18" s="33"/>
      <c r="K18" s="33" t="s">
        <v>245</v>
      </c>
      <c r="L18" s="33"/>
      <c r="M18" s="45" t="str">
        <f>IF(L18="Compliant",1,IF(L18="Partially Compliant",0.5,IF(L18="Non-Compliant",0,"")))</f>
        <v/>
      </c>
      <c r="N18" s="33"/>
      <c r="O18" s="33"/>
      <c r="P18" s="33"/>
      <c r="Q18" s="31"/>
    </row>
    <row r="19" spans="8:8" ht="35.05">
      <c r="A19" s="30" t="s">
        <v>1928</v>
      </c>
      <c r="B19" s="30" t="s">
        <v>141</v>
      </c>
      <c r="C19" s="30" t="s">
        <v>142</v>
      </c>
      <c r="D19" s="30" t="s">
        <v>143</v>
      </c>
      <c r="E19" s="30" t="s">
        <v>1929</v>
      </c>
      <c r="F19" s="30" t="s">
        <v>145</v>
      </c>
      <c r="G19" s="33" t="s">
        <v>146</v>
      </c>
      <c r="H19" s="44">
        <f>$K$5</f>
        <v>46412.0</v>
      </c>
      <c r="I19" s="44">
        <f>$K$6</f>
        <v>46430.0</v>
      </c>
      <c r="J19" s="33"/>
      <c r="K19" s="33" t="s">
        <v>245</v>
      </c>
      <c r="L19" s="33"/>
      <c r="M19" s="45" t="str">
        <f>IF(L19="Compliant",1,IF(L19="Partially Compliant",0.5,IF(L19="Non-Compliant",0,"")))</f>
        <v/>
      </c>
      <c r="N19" s="33"/>
      <c r="O19" s="33"/>
      <c r="P19" s="33"/>
      <c r="Q19" s="31"/>
    </row>
    <row r="20" spans="8:8" ht="46.25">
      <c r="A20" s="30" t="s">
        <v>1930</v>
      </c>
      <c r="B20" s="30" t="s">
        <v>147</v>
      </c>
      <c r="C20" s="30" t="s">
        <v>148</v>
      </c>
      <c r="D20" s="30" t="s">
        <v>149</v>
      </c>
      <c r="E20" s="30" t="s">
        <v>1931</v>
      </c>
      <c r="F20" s="30" t="s">
        <v>151</v>
      </c>
      <c r="G20" s="33" t="s">
        <v>146</v>
      </c>
      <c r="H20" s="44">
        <f>$K$5</f>
        <v>46412.0</v>
      </c>
      <c r="I20" s="44">
        <f>$K$6</f>
        <v>46430.0</v>
      </c>
      <c r="J20" s="33"/>
      <c r="K20" s="33" t="s">
        <v>245</v>
      </c>
      <c r="L20" s="33"/>
      <c r="M20" s="45" t="str">
        <f>IF(L20="Compliant",1,IF(L20="Partially Compliant",0.5,IF(L20="Non-Compliant",0,"")))</f>
        <v/>
      </c>
      <c r="N20" s="33"/>
      <c r="O20" s="33"/>
      <c r="P20" s="33"/>
      <c r="Q20" s="31"/>
    </row>
    <row r="21" spans="8:8" ht="35.05">
      <c r="A21" s="30" t="s">
        <v>1932</v>
      </c>
      <c r="B21" s="30" t="s">
        <v>152</v>
      </c>
      <c r="C21" s="30" t="s">
        <v>153</v>
      </c>
      <c r="D21" s="30" t="s">
        <v>154</v>
      </c>
      <c r="E21" s="30" t="s">
        <v>155</v>
      </c>
      <c r="F21" s="30" t="s">
        <v>156</v>
      </c>
      <c r="G21" s="33" t="s">
        <v>146</v>
      </c>
      <c r="H21" s="44">
        <f>$K$5</f>
        <v>46412.0</v>
      </c>
      <c r="I21" s="44">
        <f>$K$6</f>
        <v>46430.0</v>
      </c>
      <c r="J21" s="33"/>
      <c r="K21" s="33" t="s">
        <v>245</v>
      </c>
      <c r="L21" s="33"/>
      <c r="M21" s="45" t="str">
        <f>IF(L21="Compliant",1,IF(L21="Partially Compliant",0.5,IF(L21="Non-Compliant",0,"")))</f>
        <v/>
      </c>
      <c r="N21" s="33"/>
      <c r="O21" s="33"/>
      <c r="P21" s="33"/>
      <c r="Q21" s="31"/>
    </row>
    <row r="22" spans="8:8" ht="35.05">
      <c r="A22" s="30" t="s">
        <v>1933</v>
      </c>
      <c r="B22" s="30" t="s">
        <v>157</v>
      </c>
      <c r="C22" s="30" t="s">
        <v>158</v>
      </c>
      <c r="D22" s="30" t="s">
        <v>159</v>
      </c>
      <c r="E22" s="30" t="s">
        <v>160</v>
      </c>
      <c r="F22" s="30" t="s">
        <v>161</v>
      </c>
      <c r="G22" s="33" t="s">
        <v>146</v>
      </c>
      <c r="H22" s="44">
        <f>$K$5</f>
        <v>46412.0</v>
      </c>
      <c r="I22" s="44">
        <f>$K$6</f>
        <v>46430.0</v>
      </c>
      <c r="J22" s="33"/>
      <c r="K22" s="33" t="s">
        <v>245</v>
      </c>
      <c r="L22" s="33"/>
      <c r="M22" s="45" t="str">
        <f>IF(L22="Compliant",1,IF(L22="Partially Compliant",0.5,IF(L22="Non-Compliant",0,"")))</f>
        <v/>
      </c>
      <c r="N22" s="33"/>
      <c r="O22" s="33"/>
      <c r="P22" s="33"/>
      <c r="Q22" s="31"/>
    </row>
    <row r="23" spans="8:8" ht="35.05">
      <c r="A23" s="30" t="s">
        <v>1934</v>
      </c>
      <c r="B23" s="30" t="s">
        <v>162</v>
      </c>
      <c r="C23" s="30" t="s">
        <v>163</v>
      </c>
      <c r="D23" s="30" t="s">
        <v>164</v>
      </c>
      <c r="E23" s="30" t="s">
        <v>1935</v>
      </c>
      <c r="F23" s="30" t="s">
        <v>166</v>
      </c>
      <c r="G23" s="33" t="s">
        <v>146</v>
      </c>
      <c r="H23" s="44">
        <f>$K$5</f>
        <v>46412.0</v>
      </c>
      <c r="I23" s="44">
        <f>$K$6</f>
        <v>46430.0</v>
      </c>
      <c r="J23" s="33"/>
      <c r="K23" s="33" t="s">
        <v>245</v>
      </c>
      <c r="L23" s="33"/>
      <c r="M23" s="45" t="str">
        <f>IF(L23="Compliant",1,IF(L23="Partially Compliant",0.5,IF(L23="Non-Compliant",0,"")))</f>
        <v/>
      </c>
      <c r="N23" s="33"/>
      <c r="O23" s="33"/>
      <c r="P23" s="33"/>
      <c r="Q23" s="31"/>
    </row>
    <row r="24" spans="8:8" ht="35.05">
      <c r="A24" s="30" t="s">
        <v>1936</v>
      </c>
      <c r="B24" s="30" t="s">
        <v>167</v>
      </c>
      <c r="C24" s="30" t="s">
        <v>168</v>
      </c>
      <c r="D24" s="30" t="s">
        <v>169</v>
      </c>
      <c r="E24" s="30" t="s">
        <v>1937</v>
      </c>
      <c r="F24" s="30" t="s">
        <v>171</v>
      </c>
      <c r="G24" s="33" t="s">
        <v>146</v>
      </c>
      <c r="H24" s="44">
        <f>$K$5</f>
        <v>46412.0</v>
      </c>
      <c r="I24" s="44">
        <f>$K$6</f>
        <v>46430.0</v>
      </c>
      <c r="J24" s="33"/>
      <c r="K24" s="33" t="s">
        <v>245</v>
      </c>
      <c r="L24" s="33"/>
      <c r="M24" s="45" t="str">
        <f>IF(L24="Compliant",1,IF(L24="Partially Compliant",0.5,IF(L24="Non-Compliant",0,"")))</f>
        <v/>
      </c>
      <c r="N24" s="33"/>
      <c r="O24" s="33"/>
      <c r="P24" s="33"/>
      <c r="Q24" s="31"/>
    </row>
    <row r="25" spans="8:8" ht="35.05">
      <c r="A25" s="30" t="s">
        <v>1938</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1939</v>
      </c>
      <c r="B26" s="30" t="s">
        <v>177</v>
      </c>
      <c r="C26" s="30" t="s">
        <v>178</v>
      </c>
      <c r="D26" s="30" t="s">
        <v>1940</v>
      </c>
      <c r="E26" s="30" t="s">
        <v>1941</v>
      </c>
      <c r="F26" s="30" t="s">
        <v>181</v>
      </c>
      <c r="G26" s="33" t="s">
        <v>146</v>
      </c>
      <c r="H26" s="44">
        <f>$K$5</f>
        <v>46412.0</v>
      </c>
      <c r="I26" s="44">
        <f>$K$6</f>
        <v>46430.0</v>
      </c>
      <c r="J26" s="33"/>
      <c r="K26" s="33" t="s">
        <v>245</v>
      </c>
      <c r="L26" s="33"/>
      <c r="M26" s="45" t="str">
        <f>IF(L26="Compliant",1,IF(L26="Partially Compliant",0.5,IF(L26="Non-Compliant",0,"")))</f>
        <v/>
      </c>
      <c r="N26" s="33"/>
      <c r="O26" s="33"/>
      <c r="P26" s="33"/>
      <c r="Q26" s="31"/>
    </row>
    <row r="27" spans="8:8" ht="35.05">
      <c r="A27" s="30" t="s">
        <v>1942</v>
      </c>
      <c r="B27" s="30" t="s">
        <v>182</v>
      </c>
      <c r="C27" s="30" t="s">
        <v>183</v>
      </c>
      <c r="D27" s="30" t="s">
        <v>184</v>
      </c>
      <c r="E27" s="30" t="s">
        <v>1943</v>
      </c>
      <c r="F27" s="30" t="s">
        <v>186</v>
      </c>
      <c r="G27" s="33" t="s">
        <v>146</v>
      </c>
      <c r="H27" s="44">
        <f>$K$5</f>
        <v>46412.0</v>
      </c>
      <c r="I27" s="44">
        <f>$K$6</f>
        <v>46430.0</v>
      </c>
      <c r="J27" s="33"/>
      <c r="K27" s="33" t="s">
        <v>245</v>
      </c>
      <c r="L27" s="33"/>
      <c r="M27" s="45" t="str">
        <f>IF(L27="Compliant",1,IF(L27="Partially Compliant",0.5,IF(L27="Non-Compliant",0,"")))</f>
        <v/>
      </c>
      <c r="N27" s="33"/>
      <c r="O27" s="33"/>
      <c r="P27" s="33"/>
      <c r="Q27" s="31"/>
    </row>
    <row r="28" spans="8:8" ht="35.05">
      <c r="A28" s="30" t="s">
        <v>1944</v>
      </c>
      <c r="B28" s="30" t="s">
        <v>187</v>
      </c>
      <c r="C28" s="30" t="s">
        <v>188</v>
      </c>
      <c r="D28" s="30" t="s">
        <v>189</v>
      </c>
      <c r="E28" s="30" t="s">
        <v>1945</v>
      </c>
      <c r="F28" s="30" t="s">
        <v>191</v>
      </c>
      <c r="G28" s="33" t="s">
        <v>146</v>
      </c>
      <c r="H28" s="44">
        <f>$K$5</f>
        <v>46412.0</v>
      </c>
      <c r="I28" s="44">
        <f>$K$6</f>
        <v>46430.0</v>
      </c>
      <c r="J28" s="33"/>
      <c r="K28" s="33" t="s">
        <v>245</v>
      </c>
      <c r="L28" s="33"/>
      <c r="M28" s="45" t="str">
        <f>IF(L28="Compliant",1,IF(L28="Partially Compliant",0.5,IF(L28="Non-Compliant",0,"")))</f>
        <v/>
      </c>
      <c r="N28" s="33"/>
      <c r="O28" s="33"/>
      <c r="P28" s="33"/>
      <c r="Q28" s="31"/>
    </row>
    <row r="29" spans="8:8" ht="35.05">
      <c r="A29" s="30" t="s">
        <v>1946</v>
      </c>
      <c r="B29" s="30" t="s">
        <v>192</v>
      </c>
      <c r="C29" s="30" t="s">
        <v>193</v>
      </c>
      <c r="D29" s="30" t="s">
        <v>194</v>
      </c>
      <c r="E29" s="30" t="s">
        <v>1947</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1948</v>
      </c>
      <c r="B30" s="30" t="s">
        <v>197</v>
      </c>
      <c r="C30" s="30" t="s">
        <v>198</v>
      </c>
      <c r="D30" s="30" t="s">
        <v>199</v>
      </c>
      <c r="E30" s="30" t="s">
        <v>1949</v>
      </c>
      <c r="F30" s="30" t="s">
        <v>201</v>
      </c>
      <c r="G30" s="33" t="s">
        <v>146</v>
      </c>
      <c r="H30" s="44">
        <f>$K$5</f>
        <v>46412.0</v>
      </c>
      <c r="I30" s="44">
        <f>$K$6</f>
        <v>46430.0</v>
      </c>
      <c r="J30" s="33"/>
      <c r="K30" s="33" t="s">
        <v>245</v>
      </c>
      <c r="L30" s="33"/>
      <c r="M30" s="45" t="str">
        <f>IF(L30="Compliant",1,IF(L30="Partially Compliant",0.5,IF(L30="Non-Compliant",0,"")))</f>
        <v/>
      </c>
      <c r="N30" s="33"/>
      <c r="O30" s="33"/>
      <c r="P30" s="33"/>
      <c r="Q30" s="31"/>
    </row>
    <row r="31" spans="8:8" ht="35.05">
      <c r="A31" s="30" t="s">
        <v>1950</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1951</v>
      </c>
      <c r="B32" s="30" t="s">
        <v>208</v>
      </c>
      <c r="C32" s="30" t="s">
        <v>209</v>
      </c>
      <c r="D32" s="30" t="s">
        <v>210</v>
      </c>
      <c r="E32" s="30" t="s">
        <v>1952</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1953</v>
      </c>
      <c r="B33" s="30" t="s">
        <v>213</v>
      </c>
      <c r="C33" s="30" t="s">
        <v>214</v>
      </c>
      <c r="D33" s="30" t="s">
        <v>215</v>
      </c>
      <c r="E33" s="30" t="s">
        <v>1954</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1955</v>
      </c>
      <c r="B34" s="30" t="s">
        <v>218</v>
      </c>
      <c r="C34" s="30" t="s">
        <v>219</v>
      </c>
      <c r="D34" s="30" t="s">
        <v>220</v>
      </c>
      <c r="E34" s="30" t="s">
        <v>1956</v>
      </c>
      <c r="F34" s="30" t="s">
        <v>222</v>
      </c>
      <c r="G34" s="33" t="s">
        <v>146</v>
      </c>
      <c r="H34" s="44">
        <f>$K$5</f>
        <v>46412.0</v>
      </c>
      <c r="I34" s="44">
        <f>$K$6</f>
        <v>46430.0</v>
      </c>
      <c r="J34" s="33"/>
      <c r="K34" s="33" t="s">
        <v>245</v>
      </c>
      <c r="L34" s="33"/>
      <c r="M34" s="45" t="str">
        <f>IF(L34="Compliant",1,IF(L34="Partially Compliant",0.5,IF(L34="Non-Compliant",0,"")))</f>
        <v/>
      </c>
      <c r="N34" s="33"/>
      <c r="O34" s="33"/>
      <c r="P34" s="33"/>
      <c r="Q34" s="31"/>
    </row>
    <row r="35" spans="8:8" ht="35.05">
      <c r="A35" s="30" t="s">
        <v>1957</v>
      </c>
      <c r="B35" s="30" t="s">
        <v>223</v>
      </c>
      <c r="C35" s="30" t="s">
        <v>224</v>
      </c>
      <c r="D35" s="30" t="s">
        <v>225</v>
      </c>
      <c r="E35" s="30" t="s">
        <v>1958</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1959</v>
      </c>
      <c r="B36" s="30" t="s">
        <v>228</v>
      </c>
      <c r="C36" s="30" t="s">
        <v>229</v>
      </c>
      <c r="D36" s="30" t="s">
        <v>230</v>
      </c>
      <c r="E36" s="30" t="s">
        <v>1960</v>
      </c>
      <c r="F36" s="30" t="s">
        <v>232</v>
      </c>
      <c r="G36" s="33" t="s">
        <v>146</v>
      </c>
      <c r="H36" s="44">
        <f>$K$5</f>
        <v>46412.0</v>
      </c>
      <c r="I36" s="44">
        <f>$K$6</f>
        <v>46430.0</v>
      </c>
      <c r="J36" s="33"/>
      <c r="K36" s="33" t="s">
        <v>245</v>
      </c>
      <c r="L36" s="33"/>
      <c r="M36" s="45" t="str">
        <f>IF(L36="Compliant",1,IF(L36="Partially Compliant",0.5,IF(L36="Non-Compliant",0,"")))</f>
        <v/>
      </c>
      <c r="N36" s="33"/>
      <c r="O36" s="33"/>
      <c r="P36" s="33"/>
      <c r="Q36" s="31"/>
    </row>
    <row r="37" spans="8:8" ht="35.05">
      <c r="A37" s="30" t="s">
        <v>1961</v>
      </c>
      <c r="B37" s="43" t="s">
        <v>1962</v>
      </c>
      <c r="C37" s="30" t="s">
        <v>1963</v>
      </c>
      <c r="D37" s="30" t="s">
        <v>1964</v>
      </c>
      <c r="E37" s="30" t="s">
        <v>1965</v>
      </c>
      <c r="F37" s="30" t="s">
        <v>1966</v>
      </c>
      <c r="G37" s="33" t="s">
        <v>146</v>
      </c>
      <c r="H37" s="44">
        <f>$K$5</f>
        <v>46412.0</v>
      </c>
      <c r="I37" s="44">
        <f>$K$6</f>
        <v>46430.0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111">
      <formula>"Partially Compliant"</formula>
    </cfRule>
    <cfRule type="cellIs" operator="equal" priority="4" dxfId="112">
      <formula>"Non-Compliant"</formula>
    </cfRule>
    <cfRule type="cellIs" operator="equal" priority="2" dxfId="113">
      <formula>"Compliant"</formula>
    </cfRule>
  </conditionalFormatting>
  <conditionalFormatting sqref="G15:G37">
    <cfRule type="cellIs" operator="equal" priority="5" dxfId="114">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3.xml><?xml version="1.0" encoding="utf-8"?>
<worksheet xmlns:r="http://schemas.openxmlformats.org/officeDocument/2006/relationships" xmlns="http://schemas.openxmlformats.org/spreadsheetml/2006/main">
  <sheetPr>
    <tabColor rgb="FFC55A11"/>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1967</v>
      </c>
      <c r="N1" s="34" t="s">
        <v>277</v>
      </c>
    </row>
    <row r="2" spans="8:8" ht="15.0">
      <c r="A2" s="12" t="s">
        <v>278</v>
      </c>
    </row>
    <row r="4" spans="8:8" ht="15.75" customHeight="1">
      <c r="A4" s="35" t="s">
        <v>59</v>
      </c>
      <c r="B4" s="35"/>
      <c r="C4" s="36" t="s">
        <v>102</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1968</v>
      </c>
      <c r="D8" s="36"/>
      <c r="E8" s="36"/>
      <c r="F8" s="36"/>
      <c r="H8" s="35" t="s">
        <v>34</v>
      </c>
      <c r="I8" s="35"/>
      <c r="J8" s="35"/>
      <c r="K8" s="40">
        <f>COUNTIF(K15:K37,"Completed")</f>
        <v>0.0</v>
      </c>
    </row>
    <row r="9" spans="8:8" ht="15.75" customHeight="1">
      <c r="A9" s="35" t="s">
        <v>287</v>
      </c>
      <c r="B9" s="35"/>
      <c r="C9" s="36" t="s">
        <v>1969</v>
      </c>
      <c r="D9" s="36"/>
      <c r="E9" s="36"/>
      <c r="F9" s="36"/>
      <c r="H9" s="35" t="s">
        <v>64</v>
      </c>
      <c r="I9" s="35"/>
      <c r="J9" s="35"/>
      <c r="K9" s="40">
        <f>COUNTIF(L15:L37,"Compliant")</f>
        <v>0.0</v>
      </c>
    </row>
    <row r="10" spans="8:8" ht="15.75" customHeight="1">
      <c r="A10" s="35" t="s">
        <v>289</v>
      </c>
      <c r="B10" s="35"/>
      <c r="C10" s="36" t="s">
        <v>1970</v>
      </c>
      <c r="D10" s="36"/>
      <c r="E10" s="36"/>
      <c r="F10" s="36"/>
      <c r="H10" s="35" t="s">
        <v>36</v>
      </c>
      <c r="I10" s="35"/>
      <c r="J10" s="35"/>
      <c r="K10" s="40">
        <f>COUNTIF(L15:L37,"Partially Compliant")</f>
        <v>0.0</v>
      </c>
    </row>
    <row r="11" spans="8:8" ht="15.75" customHeight="1">
      <c r="A11" s="35" t="s">
        <v>291</v>
      </c>
      <c r="B11" s="35"/>
      <c r="C11" s="39" t="s">
        <v>146</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1971</v>
      </c>
      <c r="B15" s="30" t="s">
        <v>122</v>
      </c>
      <c r="C15" s="30" t="s">
        <v>123</v>
      </c>
      <c r="D15" s="30" t="s">
        <v>124</v>
      </c>
      <c r="E15" s="30" t="s">
        <v>1972</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1973</v>
      </c>
      <c r="B16" s="30" t="s">
        <v>127</v>
      </c>
      <c r="C16" s="30" t="s">
        <v>128</v>
      </c>
      <c r="D16" s="30" t="s">
        <v>129</v>
      </c>
      <c r="E16" s="30" t="s">
        <v>1974</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1975</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1976</v>
      </c>
      <c r="B18" s="30" t="s">
        <v>28</v>
      </c>
      <c r="C18" s="30" t="s">
        <v>137</v>
      </c>
      <c r="D18" s="30" t="s">
        <v>138</v>
      </c>
      <c r="E18" s="30" t="s">
        <v>1977</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1978</v>
      </c>
      <c r="B19" s="30" t="s">
        <v>141</v>
      </c>
      <c r="C19" s="30" t="s">
        <v>142</v>
      </c>
      <c r="D19" s="30" t="s">
        <v>143</v>
      </c>
      <c r="E19" s="30" t="s">
        <v>1979</v>
      </c>
      <c r="F19" s="30" t="s">
        <v>145</v>
      </c>
      <c r="G19" s="33" t="s">
        <v>146</v>
      </c>
      <c r="H19" s="44">
        <f>$K$5</f>
        <v>46412.0</v>
      </c>
      <c r="I19" s="44">
        <f>$K$6</f>
        <v>46430.0</v>
      </c>
      <c r="J19" s="33"/>
      <c r="K19" s="33" t="s">
        <v>245</v>
      </c>
      <c r="L19" s="33"/>
      <c r="M19" s="45" t="str">
        <f>IF(L19="Compliant",1,IF(L19="Partially Compliant",0.5,IF(L19="Non-Compliant",0,"")))</f>
        <v/>
      </c>
      <c r="N19" s="33"/>
      <c r="O19" s="33"/>
      <c r="P19" s="33"/>
      <c r="Q19" s="31"/>
    </row>
    <row r="20" spans="8:8" ht="46.25">
      <c r="A20" s="30" t="s">
        <v>1980</v>
      </c>
      <c r="B20" s="30" t="s">
        <v>147</v>
      </c>
      <c r="C20" s="30" t="s">
        <v>148</v>
      </c>
      <c r="D20" s="30" t="s">
        <v>149</v>
      </c>
      <c r="E20" s="30" t="s">
        <v>1981</v>
      </c>
      <c r="F20" s="30" t="s">
        <v>151</v>
      </c>
      <c r="G20" s="33" t="s">
        <v>146</v>
      </c>
      <c r="H20" s="44">
        <f>$K$5</f>
        <v>46412.0</v>
      </c>
      <c r="I20" s="44">
        <f>$K$6</f>
        <v>46430.0</v>
      </c>
      <c r="J20" s="33"/>
      <c r="K20" s="33" t="s">
        <v>245</v>
      </c>
      <c r="L20" s="33"/>
      <c r="M20" s="45" t="str">
        <f>IF(L20="Compliant",1,IF(L20="Partially Compliant",0.5,IF(L20="Non-Compliant",0,"")))</f>
        <v/>
      </c>
      <c r="N20" s="33"/>
      <c r="O20" s="33"/>
      <c r="P20" s="33"/>
      <c r="Q20" s="31"/>
    </row>
    <row r="21" spans="8:8" ht="35.05">
      <c r="A21" s="30" t="s">
        <v>1982</v>
      </c>
      <c r="B21" s="30" t="s">
        <v>152</v>
      </c>
      <c r="C21" s="30" t="s">
        <v>153</v>
      </c>
      <c r="D21" s="30" t="s">
        <v>154</v>
      </c>
      <c r="E21" s="30" t="s">
        <v>155</v>
      </c>
      <c r="F21" s="30" t="s">
        <v>156</v>
      </c>
      <c r="G21" s="33" t="s">
        <v>146</v>
      </c>
      <c r="H21" s="44">
        <f>$K$5</f>
        <v>46412.0</v>
      </c>
      <c r="I21" s="44">
        <f>$K$6</f>
        <v>46430.0</v>
      </c>
      <c r="J21" s="33"/>
      <c r="K21" s="33" t="s">
        <v>245</v>
      </c>
      <c r="L21" s="33"/>
      <c r="M21" s="45" t="str">
        <f>IF(L21="Compliant",1,IF(L21="Partially Compliant",0.5,IF(L21="Non-Compliant",0,"")))</f>
        <v/>
      </c>
      <c r="N21" s="33"/>
      <c r="O21" s="33"/>
      <c r="P21" s="33"/>
      <c r="Q21" s="31"/>
    </row>
    <row r="22" spans="8:8" ht="35.05">
      <c r="A22" s="30" t="s">
        <v>1983</v>
      </c>
      <c r="B22" s="30" t="s">
        <v>157</v>
      </c>
      <c r="C22" s="30" t="s">
        <v>158</v>
      </c>
      <c r="D22" s="30" t="s">
        <v>159</v>
      </c>
      <c r="E22" s="30" t="s">
        <v>160</v>
      </c>
      <c r="F22" s="30" t="s">
        <v>161</v>
      </c>
      <c r="G22" s="33" t="s">
        <v>146</v>
      </c>
      <c r="H22" s="44">
        <f>$K$5</f>
        <v>46412.0</v>
      </c>
      <c r="I22" s="44">
        <f>$K$6</f>
        <v>46430.0</v>
      </c>
      <c r="J22" s="33"/>
      <c r="K22" s="33" t="s">
        <v>245</v>
      </c>
      <c r="L22" s="33"/>
      <c r="M22" s="45" t="str">
        <f>IF(L22="Compliant",1,IF(L22="Partially Compliant",0.5,IF(L22="Non-Compliant",0,"")))</f>
        <v/>
      </c>
      <c r="N22" s="33"/>
      <c r="O22" s="33"/>
      <c r="P22" s="33"/>
      <c r="Q22" s="31"/>
    </row>
    <row r="23" spans="8:8" ht="35.05">
      <c r="A23" s="30" t="s">
        <v>1984</v>
      </c>
      <c r="B23" s="30" t="s">
        <v>162</v>
      </c>
      <c r="C23" s="30" t="s">
        <v>163</v>
      </c>
      <c r="D23" s="30" t="s">
        <v>164</v>
      </c>
      <c r="E23" s="30" t="s">
        <v>1985</v>
      </c>
      <c r="F23" s="30" t="s">
        <v>166</v>
      </c>
      <c r="G23" s="33" t="s">
        <v>146</v>
      </c>
      <c r="H23" s="44">
        <f>$K$5</f>
        <v>46412.0</v>
      </c>
      <c r="I23" s="44">
        <f>$K$6</f>
        <v>46430.0</v>
      </c>
      <c r="J23" s="33"/>
      <c r="K23" s="33" t="s">
        <v>245</v>
      </c>
      <c r="L23" s="33"/>
      <c r="M23" s="45" t="str">
        <f>IF(L23="Compliant",1,IF(L23="Partially Compliant",0.5,IF(L23="Non-Compliant",0,"")))</f>
        <v/>
      </c>
      <c r="N23" s="33"/>
      <c r="O23" s="33"/>
      <c r="P23" s="33"/>
      <c r="Q23" s="31"/>
    </row>
    <row r="24" spans="8:8" ht="35.05">
      <c r="A24" s="30" t="s">
        <v>1986</v>
      </c>
      <c r="B24" s="30" t="s">
        <v>167</v>
      </c>
      <c r="C24" s="30" t="s">
        <v>168</v>
      </c>
      <c r="D24" s="30" t="s">
        <v>169</v>
      </c>
      <c r="E24" s="30" t="s">
        <v>1987</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1988</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1989</v>
      </c>
      <c r="B26" s="30" t="s">
        <v>177</v>
      </c>
      <c r="C26" s="30" t="s">
        <v>178</v>
      </c>
      <c r="D26" s="30" t="s">
        <v>1990</v>
      </c>
      <c r="E26" s="30" t="s">
        <v>1991</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1992</v>
      </c>
      <c r="B27" s="30" t="s">
        <v>182</v>
      </c>
      <c r="C27" s="30" t="s">
        <v>183</v>
      </c>
      <c r="D27" s="30" t="s">
        <v>184</v>
      </c>
      <c r="E27" s="30" t="s">
        <v>1993</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1994</v>
      </c>
      <c r="B28" s="30" t="s">
        <v>187</v>
      </c>
      <c r="C28" s="30" t="s">
        <v>188</v>
      </c>
      <c r="D28" s="30" t="s">
        <v>189</v>
      </c>
      <c r="E28" s="30" t="s">
        <v>1995</v>
      </c>
      <c r="F28" s="30" t="s">
        <v>191</v>
      </c>
      <c r="G28" s="33" t="s">
        <v>146</v>
      </c>
      <c r="H28" s="44">
        <f>$K$5</f>
        <v>46412.0</v>
      </c>
      <c r="I28" s="44">
        <f>$K$6</f>
        <v>46430.0</v>
      </c>
      <c r="J28" s="33"/>
      <c r="K28" s="33" t="s">
        <v>245</v>
      </c>
      <c r="L28" s="33"/>
      <c r="M28" s="45" t="str">
        <f>IF(L28="Compliant",1,IF(L28="Partially Compliant",0.5,IF(L28="Non-Compliant",0,"")))</f>
        <v/>
      </c>
      <c r="N28" s="33"/>
      <c r="O28" s="33"/>
      <c r="P28" s="33"/>
      <c r="Q28" s="31"/>
    </row>
    <row r="29" spans="8:8" ht="35.05">
      <c r="A29" s="30" t="s">
        <v>1996</v>
      </c>
      <c r="B29" s="30" t="s">
        <v>192</v>
      </c>
      <c r="C29" s="30" t="s">
        <v>193</v>
      </c>
      <c r="D29" s="30" t="s">
        <v>194</v>
      </c>
      <c r="E29" s="30" t="s">
        <v>1997</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1998</v>
      </c>
      <c r="B30" s="30" t="s">
        <v>197</v>
      </c>
      <c r="C30" s="30" t="s">
        <v>198</v>
      </c>
      <c r="D30" s="30" t="s">
        <v>199</v>
      </c>
      <c r="E30" s="30" t="s">
        <v>1999</v>
      </c>
      <c r="F30" s="30" t="s">
        <v>201</v>
      </c>
      <c r="G30" s="33" t="s">
        <v>146</v>
      </c>
      <c r="H30" s="44">
        <f>$K$5</f>
        <v>46412.0</v>
      </c>
      <c r="I30" s="44">
        <f>$K$6</f>
        <v>46430.0</v>
      </c>
      <c r="J30" s="33"/>
      <c r="K30" s="33" t="s">
        <v>245</v>
      </c>
      <c r="L30" s="33"/>
      <c r="M30" s="45" t="str">
        <f>IF(L30="Compliant",1,IF(L30="Partially Compliant",0.5,IF(L30="Non-Compliant",0,"")))</f>
        <v/>
      </c>
      <c r="N30" s="33"/>
      <c r="O30" s="33"/>
      <c r="P30" s="33"/>
      <c r="Q30" s="31"/>
    </row>
    <row r="31" spans="8:8" ht="35.05">
      <c r="A31" s="30" t="s">
        <v>2000</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2001</v>
      </c>
      <c r="B32" s="30" t="s">
        <v>208</v>
      </c>
      <c r="C32" s="30" t="s">
        <v>209</v>
      </c>
      <c r="D32" s="30" t="s">
        <v>210</v>
      </c>
      <c r="E32" s="30" t="s">
        <v>2002</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2003</v>
      </c>
      <c r="B33" s="30" t="s">
        <v>213</v>
      </c>
      <c r="C33" s="30" t="s">
        <v>214</v>
      </c>
      <c r="D33" s="30" t="s">
        <v>215</v>
      </c>
      <c r="E33" s="30" t="s">
        <v>2004</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2005</v>
      </c>
      <c r="B34" s="30" t="s">
        <v>218</v>
      </c>
      <c r="C34" s="30" t="s">
        <v>219</v>
      </c>
      <c r="D34" s="30" t="s">
        <v>220</v>
      </c>
      <c r="E34" s="30" t="s">
        <v>2006</v>
      </c>
      <c r="F34" s="30" t="s">
        <v>222</v>
      </c>
      <c r="G34" s="33" t="s">
        <v>146</v>
      </c>
      <c r="H34" s="44">
        <f>$K$5</f>
        <v>46412.0</v>
      </c>
      <c r="I34" s="44">
        <f>$K$6</f>
        <v>46430.0</v>
      </c>
      <c r="J34" s="33"/>
      <c r="K34" s="33" t="s">
        <v>245</v>
      </c>
      <c r="L34" s="33"/>
      <c r="M34" s="45" t="str">
        <f>IF(L34="Compliant",1,IF(L34="Partially Compliant",0.5,IF(L34="Non-Compliant",0,"")))</f>
        <v/>
      </c>
      <c r="N34" s="33"/>
      <c r="O34" s="33"/>
      <c r="P34" s="33"/>
      <c r="Q34" s="31"/>
    </row>
    <row r="35" spans="8:8" ht="35.05">
      <c r="A35" s="30" t="s">
        <v>2007</v>
      </c>
      <c r="B35" s="30" t="s">
        <v>223</v>
      </c>
      <c r="C35" s="30" t="s">
        <v>224</v>
      </c>
      <c r="D35" s="30" t="s">
        <v>225</v>
      </c>
      <c r="E35" s="30" t="s">
        <v>2008</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2009</v>
      </c>
      <c r="B36" s="30" t="s">
        <v>228</v>
      </c>
      <c r="C36" s="30" t="s">
        <v>229</v>
      </c>
      <c r="D36" s="30" t="s">
        <v>230</v>
      </c>
      <c r="E36" s="30" t="s">
        <v>2010</v>
      </c>
      <c r="F36" s="30" t="s">
        <v>232</v>
      </c>
      <c r="G36" s="33" t="s">
        <v>146</v>
      </c>
      <c r="H36" s="44">
        <f>$K$5</f>
        <v>46412.0</v>
      </c>
      <c r="I36" s="44">
        <f>$K$6</f>
        <v>46430.0</v>
      </c>
      <c r="J36" s="33"/>
      <c r="K36" s="33" t="s">
        <v>245</v>
      </c>
      <c r="L36" s="33"/>
      <c r="M36" s="45" t="str">
        <f>IF(L36="Compliant",1,IF(L36="Partially Compliant",0.5,IF(L36="Non-Compliant",0,"")))</f>
        <v/>
      </c>
      <c r="N36" s="33"/>
      <c r="O36" s="33"/>
      <c r="P36" s="33"/>
      <c r="Q36" s="31"/>
    </row>
    <row r="37" spans="8:8" ht="35.05">
      <c r="A37" s="30" t="s">
        <v>2011</v>
      </c>
      <c r="B37" s="43" t="s">
        <v>2012</v>
      </c>
      <c r="C37" s="30" t="s">
        <v>2013</v>
      </c>
      <c r="D37" s="30" t="s">
        <v>2014</v>
      </c>
      <c r="E37" s="30" t="s">
        <v>2015</v>
      </c>
      <c r="F37" s="30" t="s">
        <v>2016</v>
      </c>
      <c r="G37" s="33" t="s">
        <v>146</v>
      </c>
      <c r="H37" s="44">
        <f>$K$5</f>
        <v>46412.0</v>
      </c>
      <c r="I37" s="44">
        <f>$K$6</f>
        <v>46430.0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115">
      <formula>"Partially Compliant"</formula>
    </cfRule>
    <cfRule type="cellIs" operator="equal" priority="4" dxfId="116">
      <formula>"Non-Compliant"</formula>
    </cfRule>
    <cfRule type="cellIs" operator="equal" priority="2" dxfId="117">
      <formula>"Compliant"</formula>
    </cfRule>
  </conditionalFormatting>
  <conditionalFormatting sqref="G15:G37">
    <cfRule type="cellIs" operator="equal" priority="5" dxfId="118">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4.xml><?xml version="1.0" encoding="utf-8"?>
<worksheet xmlns:r="http://schemas.openxmlformats.org/officeDocument/2006/relationships" xmlns="http://schemas.openxmlformats.org/spreadsheetml/2006/main">
  <sheetPr>
    <tabColor rgb="FFC55A11"/>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2017</v>
      </c>
      <c r="N1" s="34" t="s">
        <v>277</v>
      </c>
    </row>
    <row r="2" spans="8:8" ht="15.0">
      <c r="A2" s="12" t="s">
        <v>278</v>
      </c>
    </row>
    <row r="4" spans="8:8" ht="15.75" customHeight="1">
      <c r="A4" s="35" t="s">
        <v>59</v>
      </c>
      <c r="B4" s="35"/>
      <c r="C4" s="36" t="s">
        <v>103</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2018</v>
      </c>
      <c r="D8" s="36"/>
      <c r="E8" s="36"/>
      <c r="F8" s="36"/>
      <c r="H8" s="35" t="s">
        <v>34</v>
      </c>
      <c r="I8" s="35"/>
      <c r="J8" s="35"/>
      <c r="K8" s="40">
        <f>COUNTIF(K15:K37,"Completed")</f>
        <v>0.0</v>
      </c>
    </row>
    <row r="9" spans="8:8" ht="15.75" customHeight="1">
      <c r="A9" s="35" t="s">
        <v>287</v>
      </c>
      <c r="B9" s="35"/>
      <c r="C9" s="36" t="s">
        <v>2019</v>
      </c>
      <c r="D9" s="36"/>
      <c r="E9" s="36"/>
      <c r="F9" s="36"/>
      <c r="H9" s="35" t="s">
        <v>64</v>
      </c>
      <c r="I9" s="35"/>
      <c r="J9" s="35"/>
      <c r="K9" s="40">
        <f>COUNTIF(L15:L37,"Compliant")</f>
        <v>0.0</v>
      </c>
    </row>
    <row r="10" spans="8:8" ht="15.75" customHeight="1">
      <c r="A10" s="35" t="s">
        <v>289</v>
      </c>
      <c r="B10" s="35"/>
      <c r="C10" s="36" t="s">
        <v>2020</v>
      </c>
      <c r="D10" s="36"/>
      <c r="E10" s="36"/>
      <c r="F10" s="36"/>
      <c r="H10" s="35" t="s">
        <v>36</v>
      </c>
      <c r="I10" s="35"/>
      <c r="J10" s="35"/>
      <c r="K10" s="40">
        <f>COUNTIF(L15:L37,"Partially Compliant")</f>
        <v>0.0</v>
      </c>
    </row>
    <row r="11" spans="8:8" ht="15.75" customHeight="1">
      <c r="A11" s="35" t="s">
        <v>291</v>
      </c>
      <c r="B11" s="35"/>
      <c r="C11" s="39" t="s">
        <v>30</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2021</v>
      </c>
      <c r="B15" s="30" t="s">
        <v>122</v>
      </c>
      <c r="C15" s="30" t="s">
        <v>123</v>
      </c>
      <c r="D15" s="30" t="s">
        <v>124</v>
      </c>
      <c r="E15" s="30" t="s">
        <v>2022</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2023</v>
      </c>
      <c r="B16" s="30" t="s">
        <v>127</v>
      </c>
      <c r="C16" s="30" t="s">
        <v>128</v>
      </c>
      <c r="D16" s="30" t="s">
        <v>129</v>
      </c>
      <c r="E16" s="30" t="s">
        <v>2024</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2025</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2026</v>
      </c>
      <c r="B18" s="30" t="s">
        <v>28</v>
      </c>
      <c r="C18" s="30" t="s">
        <v>137</v>
      </c>
      <c r="D18" s="30" t="s">
        <v>138</v>
      </c>
      <c r="E18" s="30" t="s">
        <v>2027</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2028</v>
      </c>
      <c r="B19" s="30" t="s">
        <v>141</v>
      </c>
      <c r="C19" s="30" t="s">
        <v>142</v>
      </c>
      <c r="D19" s="30" t="s">
        <v>143</v>
      </c>
      <c r="E19" s="30" t="s">
        <v>2029</v>
      </c>
      <c r="F19" s="30" t="s">
        <v>145</v>
      </c>
      <c r="G19" s="33" t="s">
        <v>30</v>
      </c>
      <c r="H19" s="44">
        <f>$K$5</f>
        <v>46412.0</v>
      </c>
      <c r="I19" s="44">
        <f>$K$6</f>
        <v>46430.0</v>
      </c>
      <c r="J19" s="33"/>
      <c r="K19" s="33" t="s">
        <v>245</v>
      </c>
      <c r="L19" s="33"/>
      <c r="M19" s="45" t="str">
        <f>IF(L19="Compliant",1,IF(L19="Partially Compliant",0.5,IF(L19="Non-Compliant",0,"")))</f>
        <v/>
      </c>
      <c r="N19" s="33"/>
      <c r="O19" s="33"/>
      <c r="P19" s="33"/>
      <c r="Q19" s="31"/>
    </row>
    <row r="20" spans="8:8" ht="35.05">
      <c r="A20" s="30" t="s">
        <v>2030</v>
      </c>
      <c r="B20" s="30" t="s">
        <v>147</v>
      </c>
      <c r="C20" s="30" t="s">
        <v>148</v>
      </c>
      <c r="D20" s="30" t="s">
        <v>149</v>
      </c>
      <c r="E20" s="30" t="s">
        <v>2031</v>
      </c>
      <c r="F20" s="30" t="s">
        <v>151</v>
      </c>
      <c r="G20" s="33" t="s">
        <v>30</v>
      </c>
      <c r="H20" s="44">
        <f>$K$5</f>
        <v>46412.0</v>
      </c>
      <c r="I20" s="44">
        <f>$K$6</f>
        <v>46430.0</v>
      </c>
      <c r="J20" s="33"/>
      <c r="K20" s="33" t="s">
        <v>245</v>
      </c>
      <c r="L20" s="33"/>
      <c r="M20" s="45" t="str">
        <f>IF(L20="Compliant",1,IF(L20="Partially Compliant",0.5,IF(L20="Non-Compliant",0,"")))</f>
        <v/>
      </c>
      <c r="N20" s="33"/>
      <c r="O20" s="33"/>
      <c r="P20" s="33"/>
      <c r="Q20" s="31"/>
    </row>
    <row r="21" spans="8:8" ht="35.05">
      <c r="A21" s="30" t="s">
        <v>2032</v>
      </c>
      <c r="B21" s="30" t="s">
        <v>152</v>
      </c>
      <c r="C21" s="30" t="s">
        <v>153</v>
      </c>
      <c r="D21" s="30" t="s">
        <v>154</v>
      </c>
      <c r="E21" s="30" t="s">
        <v>155</v>
      </c>
      <c r="F21" s="30" t="s">
        <v>156</v>
      </c>
      <c r="G21" s="33" t="s">
        <v>30</v>
      </c>
      <c r="H21" s="44">
        <f>$K$5</f>
        <v>46412.0</v>
      </c>
      <c r="I21" s="44">
        <f>$K$6</f>
        <v>46430.0</v>
      </c>
      <c r="J21" s="33"/>
      <c r="K21" s="33" t="s">
        <v>245</v>
      </c>
      <c r="L21" s="33"/>
      <c r="M21" s="45" t="str">
        <f>IF(L21="Compliant",1,IF(L21="Partially Compliant",0.5,IF(L21="Non-Compliant",0,"")))</f>
        <v/>
      </c>
      <c r="N21" s="33"/>
      <c r="O21" s="33"/>
      <c r="P21" s="33"/>
      <c r="Q21" s="31"/>
    </row>
    <row r="22" spans="8:8" ht="35.05">
      <c r="A22" s="30" t="s">
        <v>2033</v>
      </c>
      <c r="B22" s="30" t="s">
        <v>157</v>
      </c>
      <c r="C22" s="30" t="s">
        <v>158</v>
      </c>
      <c r="D22" s="30" t="s">
        <v>159</v>
      </c>
      <c r="E22" s="30" t="s">
        <v>160</v>
      </c>
      <c r="F22" s="30" t="s">
        <v>161</v>
      </c>
      <c r="G22" s="33" t="s">
        <v>30</v>
      </c>
      <c r="H22" s="44">
        <f>$K$5</f>
        <v>46412.0</v>
      </c>
      <c r="I22" s="44">
        <f>$K$6</f>
        <v>46430.0</v>
      </c>
      <c r="J22" s="33"/>
      <c r="K22" s="33" t="s">
        <v>245</v>
      </c>
      <c r="L22" s="33"/>
      <c r="M22" s="45" t="str">
        <f>IF(L22="Compliant",1,IF(L22="Partially Compliant",0.5,IF(L22="Non-Compliant",0,"")))</f>
        <v/>
      </c>
      <c r="N22" s="33"/>
      <c r="O22" s="33"/>
      <c r="P22" s="33"/>
      <c r="Q22" s="31"/>
    </row>
    <row r="23" spans="8:8" ht="35.05">
      <c r="A23" s="30" t="s">
        <v>2034</v>
      </c>
      <c r="B23" s="30" t="s">
        <v>162</v>
      </c>
      <c r="C23" s="30" t="s">
        <v>163</v>
      </c>
      <c r="D23" s="30" t="s">
        <v>164</v>
      </c>
      <c r="E23" s="30" t="s">
        <v>2035</v>
      </c>
      <c r="F23" s="30" t="s">
        <v>166</v>
      </c>
      <c r="G23" s="33" t="s">
        <v>30</v>
      </c>
      <c r="H23" s="44">
        <f>$K$5</f>
        <v>46412.0</v>
      </c>
      <c r="I23" s="44">
        <f>$K$6</f>
        <v>46430.0</v>
      </c>
      <c r="J23" s="33"/>
      <c r="K23" s="33" t="s">
        <v>245</v>
      </c>
      <c r="L23" s="33"/>
      <c r="M23" s="45" t="str">
        <f>IF(L23="Compliant",1,IF(L23="Partially Compliant",0.5,IF(L23="Non-Compliant",0,"")))</f>
        <v/>
      </c>
      <c r="N23" s="33"/>
      <c r="O23" s="33"/>
      <c r="P23" s="33"/>
      <c r="Q23" s="31"/>
    </row>
    <row r="24" spans="8:8" ht="35.05">
      <c r="A24" s="30" t="s">
        <v>2036</v>
      </c>
      <c r="B24" s="30" t="s">
        <v>167</v>
      </c>
      <c r="C24" s="30" t="s">
        <v>168</v>
      </c>
      <c r="D24" s="30" t="s">
        <v>169</v>
      </c>
      <c r="E24" s="30" t="s">
        <v>2037</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2038</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2039</v>
      </c>
      <c r="B26" s="30" t="s">
        <v>177</v>
      </c>
      <c r="C26" s="30" t="s">
        <v>178</v>
      </c>
      <c r="D26" s="30" t="s">
        <v>2040</v>
      </c>
      <c r="E26" s="30" t="s">
        <v>2041</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2042</v>
      </c>
      <c r="B27" s="30" t="s">
        <v>182</v>
      </c>
      <c r="C27" s="30" t="s">
        <v>183</v>
      </c>
      <c r="D27" s="30" t="s">
        <v>184</v>
      </c>
      <c r="E27" s="30" t="s">
        <v>2043</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2044</v>
      </c>
      <c r="B28" s="30" t="s">
        <v>187</v>
      </c>
      <c r="C28" s="30" t="s">
        <v>188</v>
      </c>
      <c r="D28" s="30" t="s">
        <v>189</v>
      </c>
      <c r="E28" s="30" t="s">
        <v>2045</v>
      </c>
      <c r="F28" s="30" t="s">
        <v>191</v>
      </c>
      <c r="G28" s="33" t="s">
        <v>30</v>
      </c>
      <c r="H28" s="44">
        <f>$K$5</f>
        <v>46412.0</v>
      </c>
      <c r="I28" s="44">
        <f>$K$6</f>
        <v>46430.0</v>
      </c>
      <c r="J28" s="33"/>
      <c r="K28" s="33" t="s">
        <v>245</v>
      </c>
      <c r="L28" s="33"/>
      <c r="M28" s="45" t="str">
        <f>IF(L28="Compliant",1,IF(L28="Partially Compliant",0.5,IF(L28="Non-Compliant",0,"")))</f>
        <v/>
      </c>
      <c r="N28" s="33"/>
      <c r="O28" s="33"/>
      <c r="P28" s="33"/>
      <c r="Q28" s="31"/>
    </row>
    <row r="29" spans="8:8" ht="35.05">
      <c r="A29" s="30" t="s">
        <v>2046</v>
      </c>
      <c r="B29" s="30" t="s">
        <v>192</v>
      </c>
      <c r="C29" s="30" t="s">
        <v>193</v>
      </c>
      <c r="D29" s="30" t="s">
        <v>194</v>
      </c>
      <c r="E29" s="30" t="s">
        <v>2047</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2048</v>
      </c>
      <c r="B30" s="30" t="s">
        <v>197</v>
      </c>
      <c r="C30" s="30" t="s">
        <v>198</v>
      </c>
      <c r="D30" s="30" t="s">
        <v>199</v>
      </c>
      <c r="E30" s="30" t="s">
        <v>2049</v>
      </c>
      <c r="F30" s="30" t="s">
        <v>201</v>
      </c>
      <c r="G30" s="33" t="s">
        <v>30</v>
      </c>
      <c r="H30" s="44">
        <f>$K$5</f>
        <v>46412.0</v>
      </c>
      <c r="I30" s="44">
        <f>$K$6</f>
        <v>46430.0</v>
      </c>
      <c r="J30" s="33"/>
      <c r="K30" s="33" t="s">
        <v>245</v>
      </c>
      <c r="L30" s="33"/>
      <c r="M30" s="45" t="str">
        <f>IF(L30="Compliant",1,IF(L30="Partially Compliant",0.5,IF(L30="Non-Compliant",0,"")))</f>
        <v/>
      </c>
      <c r="N30" s="33"/>
      <c r="O30" s="33"/>
      <c r="P30" s="33"/>
      <c r="Q30" s="31"/>
    </row>
    <row r="31" spans="8:8" ht="35.05">
      <c r="A31" s="30" t="s">
        <v>2050</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2051</v>
      </c>
      <c r="B32" s="30" t="s">
        <v>208</v>
      </c>
      <c r="C32" s="30" t="s">
        <v>209</v>
      </c>
      <c r="D32" s="30" t="s">
        <v>210</v>
      </c>
      <c r="E32" s="30" t="s">
        <v>2052</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2053</v>
      </c>
      <c r="B33" s="30" t="s">
        <v>213</v>
      </c>
      <c r="C33" s="30" t="s">
        <v>214</v>
      </c>
      <c r="D33" s="30" t="s">
        <v>215</v>
      </c>
      <c r="E33" s="30" t="s">
        <v>2054</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35.05">
      <c r="A34" s="30" t="s">
        <v>2055</v>
      </c>
      <c r="B34" s="30" t="s">
        <v>218</v>
      </c>
      <c r="C34" s="30" t="s">
        <v>219</v>
      </c>
      <c r="D34" s="30" t="s">
        <v>220</v>
      </c>
      <c r="E34" s="30" t="s">
        <v>2056</v>
      </c>
      <c r="F34" s="30" t="s">
        <v>222</v>
      </c>
      <c r="G34" s="33" t="s">
        <v>30</v>
      </c>
      <c r="H34" s="44">
        <f>$K$5</f>
        <v>46412.0</v>
      </c>
      <c r="I34" s="44">
        <f>$K$6</f>
        <v>46430.0</v>
      </c>
      <c r="J34" s="33"/>
      <c r="K34" s="33" t="s">
        <v>245</v>
      </c>
      <c r="L34" s="33"/>
      <c r="M34" s="45" t="str">
        <f>IF(L34="Compliant",1,IF(L34="Partially Compliant",0.5,IF(L34="Non-Compliant",0,"")))</f>
        <v/>
      </c>
      <c r="N34" s="33"/>
      <c r="O34" s="33"/>
      <c r="P34" s="33"/>
      <c r="Q34" s="31"/>
    </row>
    <row r="35" spans="8:8" ht="35.05">
      <c r="A35" s="30" t="s">
        <v>2057</v>
      </c>
      <c r="B35" s="30" t="s">
        <v>223</v>
      </c>
      <c r="C35" s="30" t="s">
        <v>224</v>
      </c>
      <c r="D35" s="30" t="s">
        <v>225</v>
      </c>
      <c r="E35" s="30" t="s">
        <v>2058</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2059</v>
      </c>
      <c r="B36" s="30" t="s">
        <v>228</v>
      </c>
      <c r="C36" s="30" t="s">
        <v>229</v>
      </c>
      <c r="D36" s="30" t="s">
        <v>230</v>
      </c>
      <c r="E36" s="30" t="s">
        <v>2060</v>
      </c>
      <c r="F36" s="30" t="s">
        <v>232</v>
      </c>
      <c r="G36" s="33" t="s">
        <v>30</v>
      </c>
      <c r="H36" s="44">
        <f>$K$5</f>
        <v>46412.0</v>
      </c>
      <c r="I36" s="44">
        <f>$K$6</f>
        <v>46430.0</v>
      </c>
      <c r="J36" s="33"/>
      <c r="K36" s="33" t="s">
        <v>245</v>
      </c>
      <c r="L36" s="33"/>
      <c r="M36" s="45" t="str">
        <f>IF(L36="Compliant",1,IF(L36="Partially Compliant",0.5,IF(L36="Non-Compliant",0,"")))</f>
        <v/>
      </c>
      <c r="N36" s="33"/>
      <c r="O36" s="33"/>
      <c r="P36" s="33"/>
      <c r="Q36" s="31"/>
    </row>
    <row r="37" spans="8:8" ht="35.05">
      <c r="A37" s="30" t="s">
        <v>2061</v>
      </c>
      <c r="B37" s="43" t="s">
        <v>2062</v>
      </c>
      <c r="C37" s="30" t="s">
        <v>2063</v>
      </c>
      <c r="D37" s="30" t="s">
        <v>2064</v>
      </c>
      <c r="E37" s="30" t="s">
        <v>2065</v>
      </c>
      <c r="F37" s="30" t="s">
        <v>2066</v>
      </c>
      <c r="G37" s="33" t="s">
        <v>30</v>
      </c>
      <c r="H37" s="44">
        <f>$K$5</f>
        <v>46412.0</v>
      </c>
      <c r="I37" s="44">
        <f>$K$6</f>
        <v>46430.0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119">
      <formula>"Partially Compliant"</formula>
    </cfRule>
    <cfRule type="cellIs" operator="equal" priority="4" dxfId="120">
      <formula>"Non-Compliant"</formula>
    </cfRule>
    <cfRule type="cellIs" operator="equal" priority="2" dxfId="121">
      <formula>"Compliant"</formula>
    </cfRule>
  </conditionalFormatting>
  <conditionalFormatting sqref="G15:G37">
    <cfRule type="cellIs" operator="equal" priority="5" dxfId="122">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5.xml><?xml version="1.0" encoding="utf-8"?>
<worksheet xmlns:r="http://schemas.openxmlformats.org/officeDocument/2006/relationships" xmlns="http://schemas.openxmlformats.org/spreadsheetml/2006/main">
  <sheetPr>
    <tabColor rgb="FFC55A11"/>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2067</v>
      </c>
      <c r="N1" s="34" t="s">
        <v>277</v>
      </c>
    </row>
    <row r="2" spans="8:8" ht="15.0">
      <c r="A2" s="12" t="s">
        <v>278</v>
      </c>
    </row>
    <row r="4" spans="8:8" ht="15.75" customHeight="1">
      <c r="A4" s="35" t="s">
        <v>59</v>
      </c>
      <c r="B4" s="35"/>
      <c r="C4" s="36" t="s">
        <v>104</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105</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2068</v>
      </c>
      <c r="D8" s="36"/>
      <c r="E8" s="36"/>
      <c r="F8" s="36"/>
      <c r="H8" s="35" t="s">
        <v>34</v>
      </c>
      <c r="I8" s="35"/>
      <c r="J8" s="35"/>
      <c r="K8" s="40">
        <f>COUNTIF(K15:K38,"Completed")</f>
        <v>0.0</v>
      </c>
    </row>
    <row r="9" spans="8:8" ht="15.75" customHeight="1">
      <c r="A9" s="35" t="s">
        <v>287</v>
      </c>
      <c r="B9" s="35"/>
      <c r="C9" s="36" t="s">
        <v>2069</v>
      </c>
      <c r="D9" s="36"/>
      <c r="E9" s="36"/>
      <c r="F9" s="36"/>
      <c r="H9" s="35" t="s">
        <v>64</v>
      </c>
      <c r="I9" s="35"/>
      <c r="J9" s="35"/>
      <c r="K9" s="40">
        <f>COUNTIF(L15:L38,"Compliant")</f>
        <v>0.0</v>
      </c>
    </row>
    <row r="10" spans="8:8" ht="15.75" customHeight="1">
      <c r="A10" s="35" t="s">
        <v>289</v>
      </c>
      <c r="B10" s="35"/>
      <c r="C10" s="36" t="s">
        <v>2070</v>
      </c>
      <c r="D10" s="36"/>
      <c r="E10" s="36"/>
      <c r="F10" s="36"/>
      <c r="H10" s="35" t="s">
        <v>36</v>
      </c>
      <c r="I10" s="35"/>
      <c r="J10" s="35"/>
      <c r="K10" s="40">
        <f>COUNTIF(L15:L38,"Partially Compliant")</f>
        <v>0.0</v>
      </c>
    </row>
    <row r="11" spans="8:8" ht="15.75" customHeight="1">
      <c r="A11" s="35" t="s">
        <v>291</v>
      </c>
      <c r="B11" s="35"/>
      <c r="C11" s="39" t="s">
        <v>30</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2071</v>
      </c>
      <c r="B15" s="30" t="s">
        <v>122</v>
      </c>
      <c r="C15" s="30" t="s">
        <v>123</v>
      </c>
      <c r="D15" s="30" t="s">
        <v>124</v>
      </c>
      <c r="E15" s="30" t="s">
        <v>2072</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2073</v>
      </c>
      <c r="B16" s="30" t="s">
        <v>127</v>
      </c>
      <c r="C16" s="30" t="s">
        <v>128</v>
      </c>
      <c r="D16" s="30" t="s">
        <v>129</v>
      </c>
      <c r="E16" s="30" t="s">
        <v>2074</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2075</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2076</v>
      </c>
      <c r="B18" s="30" t="s">
        <v>28</v>
      </c>
      <c r="C18" s="30" t="s">
        <v>137</v>
      </c>
      <c r="D18" s="30" t="s">
        <v>138</v>
      </c>
      <c r="E18" s="30" t="s">
        <v>2077</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2078</v>
      </c>
      <c r="B19" s="30" t="s">
        <v>141</v>
      </c>
      <c r="C19" s="30" t="s">
        <v>142</v>
      </c>
      <c r="D19" s="30" t="s">
        <v>143</v>
      </c>
      <c r="E19" s="30" t="s">
        <v>2079</v>
      </c>
      <c r="F19" s="30" t="s">
        <v>145</v>
      </c>
      <c r="G19" s="33" t="s">
        <v>30</v>
      </c>
      <c r="H19" s="44">
        <f>$K$5</f>
        <v>46412.0</v>
      </c>
      <c r="I19" s="44">
        <f>$K$6</f>
        <v>46430.0</v>
      </c>
      <c r="J19" s="33"/>
      <c r="K19" s="33" t="s">
        <v>245</v>
      </c>
      <c r="L19" s="33"/>
      <c r="M19" s="45" t="str">
        <f>IF(L19="Compliant",1,IF(L19="Partially Compliant",0.5,IF(L19="Non-Compliant",0,"")))</f>
        <v/>
      </c>
      <c r="N19" s="33"/>
      <c r="O19" s="33"/>
      <c r="P19" s="33"/>
      <c r="Q19" s="31"/>
    </row>
    <row r="20" spans="8:8" ht="46.25">
      <c r="A20" s="30" t="s">
        <v>2080</v>
      </c>
      <c r="B20" s="30" t="s">
        <v>147</v>
      </c>
      <c r="C20" s="30" t="s">
        <v>148</v>
      </c>
      <c r="D20" s="30" t="s">
        <v>149</v>
      </c>
      <c r="E20" s="30" t="s">
        <v>2081</v>
      </c>
      <c r="F20" s="30" t="s">
        <v>151</v>
      </c>
      <c r="G20" s="33" t="s">
        <v>30</v>
      </c>
      <c r="H20" s="44">
        <f>$K$5</f>
        <v>46412.0</v>
      </c>
      <c r="I20" s="44">
        <f>$K$6</f>
        <v>46430.0</v>
      </c>
      <c r="J20" s="33"/>
      <c r="K20" s="33" t="s">
        <v>245</v>
      </c>
      <c r="L20" s="33"/>
      <c r="M20" s="45" t="str">
        <f>IF(L20="Compliant",1,IF(L20="Partially Compliant",0.5,IF(L20="Non-Compliant",0,"")))</f>
        <v/>
      </c>
      <c r="N20" s="33"/>
      <c r="O20" s="33"/>
      <c r="P20" s="33"/>
      <c r="Q20" s="31"/>
    </row>
    <row r="21" spans="8:8" ht="35.05">
      <c r="A21" s="30" t="s">
        <v>2082</v>
      </c>
      <c r="B21" s="30" t="s">
        <v>152</v>
      </c>
      <c r="C21" s="30" t="s">
        <v>153</v>
      </c>
      <c r="D21" s="30" t="s">
        <v>154</v>
      </c>
      <c r="E21" s="30" t="s">
        <v>155</v>
      </c>
      <c r="F21" s="30" t="s">
        <v>156</v>
      </c>
      <c r="G21" s="33" t="s">
        <v>30</v>
      </c>
      <c r="H21" s="44">
        <f>$K$5</f>
        <v>46412.0</v>
      </c>
      <c r="I21" s="44">
        <f>$K$6</f>
        <v>46430.0</v>
      </c>
      <c r="J21" s="33"/>
      <c r="K21" s="33" t="s">
        <v>245</v>
      </c>
      <c r="L21" s="33"/>
      <c r="M21" s="45" t="str">
        <f>IF(L21="Compliant",1,IF(L21="Partially Compliant",0.5,IF(L21="Non-Compliant",0,"")))</f>
        <v/>
      </c>
      <c r="N21" s="33"/>
      <c r="O21" s="33"/>
      <c r="P21" s="33"/>
      <c r="Q21" s="31"/>
    </row>
    <row r="22" spans="8:8" ht="35.05">
      <c r="A22" s="30" t="s">
        <v>2083</v>
      </c>
      <c r="B22" s="30" t="s">
        <v>157</v>
      </c>
      <c r="C22" s="30" t="s">
        <v>158</v>
      </c>
      <c r="D22" s="30" t="s">
        <v>159</v>
      </c>
      <c r="E22" s="30" t="s">
        <v>160</v>
      </c>
      <c r="F22" s="30" t="s">
        <v>161</v>
      </c>
      <c r="G22" s="33" t="s">
        <v>30</v>
      </c>
      <c r="H22" s="44">
        <f>$K$5</f>
        <v>46412.0</v>
      </c>
      <c r="I22" s="44">
        <f>$K$6</f>
        <v>46430.0</v>
      </c>
      <c r="J22" s="33"/>
      <c r="K22" s="33" t="s">
        <v>245</v>
      </c>
      <c r="L22" s="33"/>
      <c r="M22" s="45" t="str">
        <f>IF(L22="Compliant",1,IF(L22="Partially Compliant",0.5,IF(L22="Non-Compliant",0,"")))</f>
        <v/>
      </c>
      <c r="N22" s="33"/>
      <c r="O22" s="33"/>
      <c r="P22" s="33"/>
      <c r="Q22" s="31"/>
    </row>
    <row r="23" spans="8:8" ht="35.05">
      <c r="A23" s="30" t="s">
        <v>2084</v>
      </c>
      <c r="B23" s="30" t="s">
        <v>162</v>
      </c>
      <c r="C23" s="30" t="s">
        <v>163</v>
      </c>
      <c r="D23" s="30" t="s">
        <v>164</v>
      </c>
      <c r="E23" s="30" t="s">
        <v>2085</v>
      </c>
      <c r="F23" s="30" t="s">
        <v>166</v>
      </c>
      <c r="G23" s="33" t="s">
        <v>30</v>
      </c>
      <c r="H23" s="44">
        <f>$K$5</f>
        <v>46412.0</v>
      </c>
      <c r="I23" s="44">
        <f>$K$6</f>
        <v>46430.0</v>
      </c>
      <c r="J23" s="33"/>
      <c r="K23" s="33" t="s">
        <v>245</v>
      </c>
      <c r="L23" s="33"/>
      <c r="M23" s="45" t="str">
        <f>IF(L23="Compliant",1,IF(L23="Partially Compliant",0.5,IF(L23="Non-Compliant",0,"")))</f>
        <v/>
      </c>
      <c r="N23" s="33"/>
      <c r="O23" s="33"/>
      <c r="P23" s="33"/>
      <c r="Q23" s="31"/>
    </row>
    <row r="24" spans="8:8" ht="35.05">
      <c r="A24" s="30" t="s">
        <v>2086</v>
      </c>
      <c r="B24" s="30" t="s">
        <v>167</v>
      </c>
      <c r="C24" s="30" t="s">
        <v>168</v>
      </c>
      <c r="D24" s="30" t="s">
        <v>169</v>
      </c>
      <c r="E24" s="30" t="s">
        <v>2087</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2088</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2089</v>
      </c>
      <c r="B26" s="30" t="s">
        <v>177</v>
      </c>
      <c r="C26" s="30" t="s">
        <v>178</v>
      </c>
      <c r="D26" s="30" t="s">
        <v>2090</v>
      </c>
      <c r="E26" s="30" t="s">
        <v>2091</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2092</v>
      </c>
      <c r="B27" s="30" t="s">
        <v>182</v>
      </c>
      <c r="C27" s="30" t="s">
        <v>183</v>
      </c>
      <c r="D27" s="30" t="s">
        <v>184</v>
      </c>
      <c r="E27" s="30" t="s">
        <v>2093</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2094</v>
      </c>
      <c r="B28" s="30" t="s">
        <v>187</v>
      </c>
      <c r="C28" s="30" t="s">
        <v>188</v>
      </c>
      <c r="D28" s="30" t="s">
        <v>189</v>
      </c>
      <c r="E28" s="30" t="s">
        <v>2095</v>
      </c>
      <c r="F28" s="30" t="s">
        <v>191</v>
      </c>
      <c r="G28" s="33" t="s">
        <v>30</v>
      </c>
      <c r="H28" s="44">
        <f>$K$5</f>
        <v>46412.0</v>
      </c>
      <c r="I28" s="44">
        <f>$K$6</f>
        <v>46430.0</v>
      </c>
      <c r="J28" s="33"/>
      <c r="K28" s="33" t="s">
        <v>245</v>
      </c>
      <c r="L28" s="33"/>
      <c r="M28" s="45" t="str">
        <f>IF(L28="Compliant",1,IF(L28="Partially Compliant",0.5,IF(L28="Non-Compliant",0,"")))</f>
        <v/>
      </c>
      <c r="N28" s="33"/>
      <c r="O28" s="33"/>
      <c r="P28" s="33"/>
      <c r="Q28" s="31"/>
    </row>
    <row r="29" spans="8:8" ht="35.05">
      <c r="A29" s="30" t="s">
        <v>2096</v>
      </c>
      <c r="B29" s="30" t="s">
        <v>192</v>
      </c>
      <c r="C29" s="30" t="s">
        <v>193</v>
      </c>
      <c r="D29" s="30" t="s">
        <v>194</v>
      </c>
      <c r="E29" s="30" t="s">
        <v>2097</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2098</v>
      </c>
      <c r="B30" s="30" t="s">
        <v>197</v>
      </c>
      <c r="C30" s="30" t="s">
        <v>198</v>
      </c>
      <c r="D30" s="30" t="s">
        <v>199</v>
      </c>
      <c r="E30" s="30" t="s">
        <v>2099</v>
      </c>
      <c r="F30" s="30" t="s">
        <v>201</v>
      </c>
      <c r="G30" s="33" t="s">
        <v>30</v>
      </c>
      <c r="H30" s="44">
        <f>$K$5</f>
        <v>46412.0</v>
      </c>
      <c r="I30" s="44">
        <f>$K$6</f>
        <v>46430.0</v>
      </c>
      <c r="J30" s="33"/>
      <c r="K30" s="33" t="s">
        <v>245</v>
      </c>
      <c r="L30" s="33"/>
      <c r="M30" s="45" t="str">
        <f>IF(L30="Compliant",1,IF(L30="Partially Compliant",0.5,IF(L30="Non-Compliant",0,"")))</f>
        <v/>
      </c>
      <c r="N30" s="33"/>
      <c r="O30" s="33"/>
      <c r="P30" s="33"/>
      <c r="Q30" s="31"/>
    </row>
    <row r="31" spans="8:8" ht="35.05">
      <c r="A31" s="30" t="s">
        <v>2100</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2101</v>
      </c>
      <c r="B32" s="30" t="s">
        <v>208</v>
      </c>
      <c r="C32" s="30" t="s">
        <v>209</v>
      </c>
      <c r="D32" s="30" t="s">
        <v>210</v>
      </c>
      <c r="E32" s="30" t="s">
        <v>2102</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2103</v>
      </c>
      <c r="B33" s="30" t="s">
        <v>213</v>
      </c>
      <c r="C33" s="30" t="s">
        <v>214</v>
      </c>
      <c r="D33" s="30" t="s">
        <v>215</v>
      </c>
      <c r="E33" s="30" t="s">
        <v>2104</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2105</v>
      </c>
      <c r="B34" s="30" t="s">
        <v>218</v>
      </c>
      <c r="C34" s="30" t="s">
        <v>219</v>
      </c>
      <c r="D34" s="30" t="s">
        <v>220</v>
      </c>
      <c r="E34" s="30" t="s">
        <v>2106</v>
      </c>
      <c r="F34" s="30" t="s">
        <v>222</v>
      </c>
      <c r="G34" s="33" t="s">
        <v>30</v>
      </c>
      <c r="H34" s="44">
        <f>$K$5</f>
        <v>46412.0</v>
      </c>
      <c r="I34" s="44">
        <f>$K$6</f>
        <v>46430.0</v>
      </c>
      <c r="J34" s="33"/>
      <c r="K34" s="33" t="s">
        <v>245</v>
      </c>
      <c r="L34" s="33"/>
      <c r="M34" s="45" t="str">
        <f>IF(L34="Compliant",1,IF(L34="Partially Compliant",0.5,IF(L34="Non-Compliant",0,"")))</f>
        <v/>
      </c>
      <c r="N34" s="33"/>
      <c r="O34" s="33"/>
      <c r="P34" s="33"/>
      <c r="Q34" s="31"/>
    </row>
    <row r="35" spans="8:8" ht="35.05">
      <c r="A35" s="30" t="s">
        <v>2107</v>
      </c>
      <c r="B35" s="30" t="s">
        <v>223</v>
      </c>
      <c r="C35" s="30" t="s">
        <v>224</v>
      </c>
      <c r="D35" s="30" t="s">
        <v>225</v>
      </c>
      <c r="E35" s="30" t="s">
        <v>2108</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2109</v>
      </c>
      <c r="B36" s="30" t="s">
        <v>228</v>
      </c>
      <c r="C36" s="30" t="s">
        <v>229</v>
      </c>
      <c r="D36" s="30" t="s">
        <v>230</v>
      </c>
      <c r="E36" s="30" t="s">
        <v>2110</v>
      </c>
      <c r="F36" s="30" t="s">
        <v>232</v>
      </c>
      <c r="G36" s="33" t="s">
        <v>30</v>
      </c>
      <c r="H36" s="44">
        <f>$K$5</f>
        <v>46412.0</v>
      </c>
      <c r="I36" s="44">
        <f>$K$6</f>
        <v>46430.0</v>
      </c>
      <c r="J36" s="33"/>
      <c r="K36" s="33" t="s">
        <v>245</v>
      </c>
      <c r="L36" s="33"/>
      <c r="M36" s="45" t="str">
        <f>IF(L36="Compliant",1,IF(L36="Partially Compliant",0.5,IF(L36="Non-Compliant",0,"")))</f>
        <v/>
      </c>
      <c r="N36" s="33"/>
      <c r="O36" s="33"/>
      <c r="P36" s="33"/>
      <c r="Q36" s="31"/>
    </row>
    <row r="37" spans="8:8" ht="35.05">
      <c r="A37" s="30" t="s">
        <v>2111</v>
      </c>
      <c r="B37" s="43" t="s">
        <v>2112</v>
      </c>
      <c r="C37" s="30" t="s">
        <v>808</v>
      </c>
      <c r="D37" s="30" t="s">
        <v>2113</v>
      </c>
      <c r="E37" s="30" t="s">
        <v>2114</v>
      </c>
      <c r="F37" s="30" t="s">
        <v>2115</v>
      </c>
      <c r="G37" s="33" t="s">
        <v>30</v>
      </c>
      <c r="H37" s="44">
        <f>$K$5</f>
        <v>46412.0</v>
      </c>
      <c r="I37" s="44">
        <f>$K$6</f>
        <v>46430.0</v>
      </c>
      <c r="J37" s="33"/>
      <c r="K37" s="33" t="s">
        <v>245</v>
      </c>
      <c r="L37" s="33"/>
      <c r="M37" s="45" t="str">
        <f>IF(L37="Compliant",1,IF(L37="Partially Compliant",0.5,IF(L37="Non-Compliant",0,"")))</f>
        <v/>
      </c>
      <c r="N37" s="33"/>
      <c r="O37" s="33"/>
      <c r="P37" s="33"/>
      <c r="Q37" s="31"/>
    </row>
    <row r="38" spans="8:8" ht="35.05">
      <c r="A38" s="30" t="s">
        <v>2116</v>
      </c>
      <c r="B38" s="43" t="s">
        <v>2117</v>
      </c>
      <c r="C38" s="30" t="s">
        <v>2118</v>
      </c>
      <c r="D38" s="30" t="s">
        <v>2119</v>
      </c>
      <c r="E38" s="30" t="s">
        <v>2120</v>
      </c>
      <c r="F38" s="30" t="s">
        <v>2121</v>
      </c>
      <c r="G38" s="33" t="s">
        <v>30</v>
      </c>
      <c r="H38" s="44">
        <f>$K$5</f>
        <v>46412.0</v>
      </c>
      <c r="I38" s="44">
        <f>$K$6</f>
        <v>46430.0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123">
      <formula>"Partially Compliant"</formula>
    </cfRule>
    <cfRule type="cellIs" operator="equal" priority="4" dxfId="124">
      <formula>"Non-Compliant"</formula>
    </cfRule>
    <cfRule type="cellIs" operator="equal" priority="2" dxfId="125">
      <formula>"Compliant"</formula>
    </cfRule>
  </conditionalFormatting>
  <conditionalFormatting sqref="G15:G38">
    <cfRule type="cellIs" operator="equal" priority="5" dxfId="126">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6.xml><?xml version="1.0" encoding="utf-8"?>
<worksheet xmlns:r="http://schemas.openxmlformats.org/officeDocument/2006/relationships" xmlns="http://schemas.openxmlformats.org/spreadsheetml/2006/main">
  <sheetPr>
    <tabColor rgb="FFC55A11"/>
    <pageSetUpPr fitToPage="1"/>
  </sheetPr>
  <dimension ref="A1:R41"/>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2122</v>
      </c>
      <c r="N1" s="34" t="s">
        <v>277</v>
      </c>
    </row>
    <row r="2" spans="8:8" ht="15.0">
      <c r="A2" s="12" t="s">
        <v>278</v>
      </c>
    </row>
    <row r="4" spans="8:8" ht="15.75" customHeight="1">
      <c r="A4" s="35" t="s">
        <v>59</v>
      </c>
      <c r="B4" s="35"/>
      <c r="C4" s="36" t="s">
        <v>106</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105</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COUNTA(A15:A39)</f>
        <v>25.0</v>
      </c>
    </row>
    <row r="8" spans="8:8" ht="15.75" customHeight="1">
      <c r="A8" s="35" t="s">
        <v>285</v>
      </c>
      <c r="B8" s="35"/>
      <c r="C8" s="36" t="s">
        <v>2123</v>
      </c>
      <c r="D8" s="36"/>
      <c r="E8" s="36"/>
      <c r="F8" s="36"/>
      <c r="H8" s="35" t="s">
        <v>34</v>
      </c>
      <c r="I8" s="35"/>
      <c r="J8" s="35"/>
      <c r="K8" s="40">
        <f>COUNTIF(K15:K39,"Completed")</f>
        <v>0.0</v>
      </c>
    </row>
    <row r="9" spans="8:8" ht="27.75" customHeight="1">
      <c r="A9" s="35" t="s">
        <v>287</v>
      </c>
      <c r="B9" s="35"/>
      <c r="C9" s="36" t="s">
        <v>2124</v>
      </c>
      <c r="D9" s="36"/>
      <c r="E9" s="36"/>
      <c r="F9" s="36"/>
      <c r="H9" s="35" t="s">
        <v>64</v>
      </c>
      <c r="I9" s="35"/>
      <c r="J9" s="35"/>
      <c r="K9" s="40">
        <f>COUNTIF(L15:L39,"Compliant")</f>
        <v>0.0</v>
      </c>
    </row>
    <row r="10" spans="8:8" ht="15.75" customHeight="1">
      <c r="A10" s="35" t="s">
        <v>289</v>
      </c>
      <c r="B10" s="35"/>
      <c r="C10" s="36" t="s">
        <v>2125</v>
      </c>
      <c r="D10" s="36"/>
      <c r="E10" s="36"/>
      <c r="F10" s="36"/>
      <c r="H10" s="35" t="s">
        <v>36</v>
      </c>
      <c r="I10" s="35"/>
      <c r="J10" s="35"/>
      <c r="K10" s="40">
        <f>COUNTIF(L15:L39,"Partially Compliant")</f>
        <v>0.0</v>
      </c>
    </row>
    <row r="11" spans="8:8" ht="15.75" customHeight="1">
      <c r="A11" s="35" t="s">
        <v>291</v>
      </c>
      <c r="B11" s="35"/>
      <c r="C11" s="39" t="s">
        <v>30</v>
      </c>
      <c r="D11" s="39"/>
      <c r="E11" s="39"/>
      <c r="F11" s="39"/>
      <c r="H11" s="35" t="s">
        <v>49</v>
      </c>
      <c r="I11" s="35"/>
      <c r="J11" s="35"/>
      <c r="K11" s="40">
        <f>COUNTIF(L15:L39,"Non-Compliant")</f>
        <v>0.0</v>
      </c>
    </row>
    <row r="12" spans="8:8" ht="15.0">
      <c r="H12" s="35" t="s">
        <v>292</v>
      </c>
      <c r="I12" s="35"/>
      <c r="J12" s="35"/>
      <c r="K12" s="40">
        <f>COUNTIF(L15:L39,"Not Applicable")</f>
        <v>0.0</v>
      </c>
    </row>
    <row r="13" spans="8:8" ht="15.0">
      <c r="H13" s="35" t="s">
        <v>293</v>
      </c>
      <c r="I13" s="35"/>
      <c r="J13" s="35"/>
      <c r="K13" s="41" t="str">
        <f>_xlfn.IFERROR(AVERAGE(M15:M39),"")</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2126</v>
      </c>
      <c r="B15" s="30" t="s">
        <v>122</v>
      </c>
      <c r="C15" s="30" t="s">
        <v>123</v>
      </c>
      <c r="D15" s="30" t="s">
        <v>124</v>
      </c>
      <c r="E15" s="30" t="s">
        <v>2127</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2128</v>
      </c>
      <c r="B16" s="30" t="s">
        <v>127</v>
      </c>
      <c r="C16" s="30" t="s">
        <v>128</v>
      </c>
      <c r="D16" s="30" t="s">
        <v>129</v>
      </c>
      <c r="E16" s="30" t="s">
        <v>2129</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2130</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2131</v>
      </c>
      <c r="B18" s="30" t="s">
        <v>28</v>
      </c>
      <c r="C18" s="30" t="s">
        <v>137</v>
      </c>
      <c r="D18" s="30" t="s">
        <v>138</v>
      </c>
      <c r="E18" s="30" t="s">
        <v>2132</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2133</v>
      </c>
      <c r="B19" s="30" t="s">
        <v>141</v>
      </c>
      <c r="C19" s="30" t="s">
        <v>142</v>
      </c>
      <c r="D19" s="30" t="s">
        <v>143</v>
      </c>
      <c r="E19" s="30" t="s">
        <v>2134</v>
      </c>
      <c r="F19" s="30" t="s">
        <v>145</v>
      </c>
      <c r="G19" s="33" t="s">
        <v>30</v>
      </c>
      <c r="H19" s="44">
        <f>$K$5</f>
        <v>46412.0</v>
      </c>
      <c r="I19" s="44">
        <f>$K$6</f>
        <v>46430.0</v>
      </c>
      <c r="J19" s="33"/>
      <c r="K19" s="33" t="s">
        <v>245</v>
      </c>
      <c r="L19" s="33"/>
      <c r="M19" s="45" t="str">
        <f>IF(L19="Compliant",1,IF(L19="Partially Compliant",0.5,IF(L19="Non-Compliant",0,"")))</f>
        <v/>
      </c>
      <c r="N19" s="33"/>
      <c r="O19" s="33"/>
      <c r="P19" s="33"/>
      <c r="Q19" s="31"/>
    </row>
    <row r="20" spans="8:8" ht="46.25">
      <c r="A20" s="30" t="s">
        <v>2135</v>
      </c>
      <c r="B20" s="30" t="s">
        <v>147</v>
      </c>
      <c r="C20" s="30" t="s">
        <v>148</v>
      </c>
      <c r="D20" s="30" t="s">
        <v>149</v>
      </c>
      <c r="E20" s="30" t="s">
        <v>2136</v>
      </c>
      <c r="F20" s="30" t="s">
        <v>151</v>
      </c>
      <c r="G20" s="33" t="s">
        <v>30</v>
      </c>
      <c r="H20" s="44">
        <f>$K$5</f>
        <v>46412.0</v>
      </c>
      <c r="I20" s="44">
        <f>$K$6</f>
        <v>46430.0</v>
      </c>
      <c r="J20" s="33"/>
      <c r="K20" s="33" t="s">
        <v>245</v>
      </c>
      <c r="L20" s="33"/>
      <c r="M20" s="45" t="str">
        <f>IF(L20="Compliant",1,IF(L20="Partially Compliant",0.5,IF(L20="Non-Compliant",0,"")))</f>
        <v/>
      </c>
      <c r="N20" s="33"/>
      <c r="O20" s="33"/>
      <c r="P20" s="33"/>
      <c r="Q20" s="31"/>
    </row>
    <row r="21" spans="8:8" ht="35.05">
      <c r="A21" s="30" t="s">
        <v>2137</v>
      </c>
      <c r="B21" s="30" t="s">
        <v>152</v>
      </c>
      <c r="C21" s="30" t="s">
        <v>153</v>
      </c>
      <c r="D21" s="30" t="s">
        <v>154</v>
      </c>
      <c r="E21" s="30" t="s">
        <v>155</v>
      </c>
      <c r="F21" s="30" t="s">
        <v>156</v>
      </c>
      <c r="G21" s="33" t="s">
        <v>30</v>
      </c>
      <c r="H21" s="44">
        <f>$K$5</f>
        <v>46412.0</v>
      </c>
      <c r="I21" s="44">
        <f>$K$6</f>
        <v>46430.0</v>
      </c>
      <c r="J21" s="33"/>
      <c r="K21" s="33" t="s">
        <v>245</v>
      </c>
      <c r="L21" s="33"/>
      <c r="M21" s="45" t="str">
        <f>IF(L21="Compliant",1,IF(L21="Partially Compliant",0.5,IF(L21="Non-Compliant",0,"")))</f>
        <v/>
      </c>
      <c r="N21" s="33"/>
      <c r="O21" s="33"/>
      <c r="P21" s="33"/>
      <c r="Q21" s="31"/>
    </row>
    <row r="22" spans="8:8" ht="35.05">
      <c r="A22" s="30" t="s">
        <v>2138</v>
      </c>
      <c r="B22" s="30" t="s">
        <v>157</v>
      </c>
      <c r="C22" s="30" t="s">
        <v>158</v>
      </c>
      <c r="D22" s="30" t="s">
        <v>159</v>
      </c>
      <c r="E22" s="30" t="s">
        <v>160</v>
      </c>
      <c r="F22" s="30" t="s">
        <v>161</v>
      </c>
      <c r="G22" s="33" t="s">
        <v>30</v>
      </c>
      <c r="H22" s="44">
        <f>$K$5</f>
        <v>46412.0</v>
      </c>
      <c r="I22" s="44">
        <f>$K$6</f>
        <v>46430.0</v>
      </c>
      <c r="J22" s="33"/>
      <c r="K22" s="33" t="s">
        <v>245</v>
      </c>
      <c r="L22" s="33"/>
      <c r="M22" s="45" t="str">
        <f>IF(L22="Compliant",1,IF(L22="Partially Compliant",0.5,IF(L22="Non-Compliant",0,"")))</f>
        <v/>
      </c>
      <c r="N22" s="33"/>
      <c r="O22" s="33"/>
      <c r="P22" s="33"/>
      <c r="Q22" s="31"/>
    </row>
    <row r="23" spans="8:8" ht="35.05">
      <c r="A23" s="30" t="s">
        <v>2139</v>
      </c>
      <c r="B23" s="30" t="s">
        <v>162</v>
      </c>
      <c r="C23" s="30" t="s">
        <v>163</v>
      </c>
      <c r="D23" s="30" t="s">
        <v>164</v>
      </c>
      <c r="E23" s="30" t="s">
        <v>2140</v>
      </c>
      <c r="F23" s="30" t="s">
        <v>166</v>
      </c>
      <c r="G23" s="33" t="s">
        <v>30</v>
      </c>
      <c r="H23" s="44">
        <f>$K$5</f>
        <v>46412.0</v>
      </c>
      <c r="I23" s="44">
        <f>$K$6</f>
        <v>46430.0</v>
      </c>
      <c r="J23" s="33"/>
      <c r="K23" s="33" t="s">
        <v>245</v>
      </c>
      <c r="L23" s="33"/>
      <c r="M23" s="45" t="str">
        <f>IF(L23="Compliant",1,IF(L23="Partially Compliant",0.5,IF(L23="Non-Compliant",0,"")))</f>
        <v/>
      </c>
      <c r="N23" s="33"/>
      <c r="O23" s="33"/>
      <c r="P23" s="33"/>
      <c r="Q23" s="31"/>
    </row>
    <row r="24" spans="8:8" ht="35.05">
      <c r="A24" s="30" t="s">
        <v>2141</v>
      </c>
      <c r="B24" s="30" t="s">
        <v>167</v>
      </c>
      <c r="C24" s="30" t="s">
        <v>168</v>
      </c>
      <c r="D24" s="30" t="s">
        <v>169</v>
      </c>
      <c r="E24" s="30" t="s">
        <v>2142</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2143</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2144</v>
      </c>
      <c r="B26" s="30" t="s">
        <v>177</v>
      </c>
      <c r="C26" s="30" t="s">
        <v>178</v>
      </c>
      <c r="D26" s="30" t="s">
        <v>2145</v>
      </c>
      <c r="E26" s="30" t="s">
        <v>2146</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2147</v>
      </c>
      <c r="B27" s="30" t="s">
        <v>182</v>
      </c>
      <c r="C27" s="30" t="s">
        <v>183</v>
      </c>
      <c r="D27" s="30" t="s">
        <v>184</v>
      </c>
      <c r="E27" s="30" t="s">
        <v>2148</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2149</v>
      </c>
      <c r="B28" s="30" t="s">
        <v>187</v>
      </c>
      <c r="C28" s="30" t="s">
        <v>188</v>
      </c>
      <c r="D28" s="30" t="s">
        <v>189</v>
      </c>
      <c r="E28" s="30" t="s">
        <v>2150</v>
      </c>
      <c r="F28" s="30" t="s">
        <v>191</v>
      </c>
      <c r="G28" s="33" t="s">
        <v>30</v>
      </c>
      <c r="H28" s="44">
        <f>$K$5</f>
        <v>46412.0</v>
      </c>
      <c r="I28" s="44">
        <f>$K$6</f>
        <v>46430.0</v>
      </c>
      <c r="J28" s="33"/>
      <c r="K28" s="33" t="s">
        <v>245</v>
      </c>
      <c r="L28" s="33"/>
      <c r="M28" s="45" t="str">
        <f>IF(L28="Compliant",1,IF(L28="Partially Compliant",0.5,IF(L28="Non-Compliant",0,"")))</f>
        <v/>
      </c>
      <c r="N28" s="33"/>
      <c r="O28" s="33"/>
      <c r="P28" s="33"/>
      <c r="Q28" s="31"/>
    </row>
    <row r="29" spans="8:8" ht="35.05">
      <c r="A29" s="30" t="s">
        <v>2151</v>
      </c>
      <c r="B29" s="30" t="s">
        <v>192</v>
      </c>
      <c r="C29" s="30" t="s">
        <v>193</v>
      </c>
      <c r="D29" s="30" t="s">
        <v>194</v>
      </c>
      <c r="E29" s="30" t="s">
        <v>2152</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2153</v>
      </c>
      <c r="B30" s="30" t="s">
        <v>197</v>
      </c>
      <c r="C30" s="30" t="s">
        <v>198</v>
      </c>
      <c r="D30" s="30" t="s">
        <v>199</v>
      </c>
      <c r="E30" s="30" t="s">
        <v>2154</v>
      </c>
      <c r="F30" s="30" t="s">
        <v>201</v>
      </c>
      <c r="G30" s="33" t="s">
        <v>30</v>
      </c>
      <c r="H30" s="44">
        <f>$K$5</f>
        <v>46412.0</v>
      </c>
      <c r="I30" s="44">
        <f>$K$6</f>
        <v>46430.0</v>
      </c>
      <c r="J30" s="33"/>
      <c r="K30" s="33" t="s">
        <v>245</v>
      </c>
      <c r="L30" s="33"/>
      <c r="M30" s="45" t="str">
        <f>IF(L30="Compliant",1,IF(L30="Partially Compliant",0.5,IF(L30="Non-Compliant",0,"")))</f>
        <v/>
      </c>
      <c r="N30" s="33"/>
      <c r="O30" s="33"/>
      <c r="P30" s="33"/>
      <c r="Q30" s="31"/>
    </row>
    <row r="31" spans="8:8" ht="35.05">
      <c r="A31" s="30" t="s">
        <v>2155</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2156</v>
      </c>
      <c r="B32" s="30" t="s">
        <v>208</v>
      </c>
      <c r="C32" s="30" t="s">
        <v>209</v>
      </c>
      <c r="D32" s="30" t="s">
        <v>210</v>
      </c>
      <c r="E32" s="30" t="s">
        <v>2157</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2158</v>
      </c>
      <c r="B33" s="30" t="s">
        <v>213</v>
      </c>
      <c r="C33" s="30" t="s">
        <v>214</v>
      </c>
      <c r="D33" s="30" t="s">
        <v>215</v>
      </c>
      <c r="E33" s="30" t="s">
        <v>2159</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2160</v>
      </c>
      <c r="B34" s="30" t="s">
        <v>218</v>
      </c>
      <c r="C34" s="30" t="s">
        <v>219</v>
      </c>
      <c r="D34" s="30" t="s">
        <v>220</v>
      </c>
      <c r="E34" s="30" t="s">
        <v>2161</v>
      </c>
      <c r="F34" s="30" t="s">
        <v>222</v>
      </c>
      <c r="G34" s="33" t="s">
        <v>30</v>
      </c>
      <c r="H34" s="44">
        <f>$K$5</f>
        <v>46412.0</v>
      </c>
      <c r="I34" s="44">
        <f>$K$6</f>
        <v>46430.0</v>
      </c>
      <c r="J34" s="33"/>
      <c r="K34" s="33" t="s">
        <v>245</v>
      </c>
      <c r="L34" s="33"/>
      <c r="M34" s="45" t="str">
        <f>IF(L34="Compliant",1,IF(L34="Partially Compliant",0.5,IF(L34="Non-Compliant",0,"")))</f>
        <v/>
      </c>
      <c r="N34" s="33"/>
      <c r="O34" s="33"/>
      <c r="P34" s="33"/>
      <c r="Q34" s="31"/>
    </row>
    <row r="35" spans="8:8" ht="35.05">
      <c r="A35" s="30" t="s">
        <v>2162</v>
      </c>
      <c r="B35" s="30" t="s">
        <v>223</v>
      </c>
      <c r="C35" s="30" t="s">
        <v>224</v>
      </c>
      <c r="D35" s="30" t="s">
        <v>225</v>
      </c>
      <c r="E35" s="30" t="s">
        <v>2163</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2164</v>
      </c>
      <c r="B36" s="30" t="s">
        <v>228</v>
      </c>
      <c r="C36" s="30" t="s">
        <v>229</v>
      </c>
      <c r="D36" s="30" t="s">
        <v>230</v>
      </c>
      <c r="E36" s="30" t="s">
        <v>2165</v>
      </c>
      <c r="F36" s="30" t="s">
        <v>232</v>
      </c>
      <c r="G36" s="33" t="s">
        <v>30</v>
      </c>
      <c r="H36" s="44">
        <f>$K$5</f>
        <v>46412.0</v>
      </c>
      <c r="I36" s="44">
        <f>$K$6</f>
        <v>46430.0</v>
      </c>
      <c r="J36" s="33"/>
      <c r="K36" s="33" t="s">
        <v>245</v>
      </c>
      <c r="L36" s="33"/>
      <c r="M36" s="45" t="str">
        <f>IF(L36="Compliant",1,IF(L36="Partially Compliant",0.5,IF(L36="Non-Compliant",0,"")))</f>
        <v/>
      </c>
      <c r="N36" s="33"/>
      <c r="O36" s="33"/>
      <c r="P36" s="33"/>
      <c r="Q36" s="31"/>
    </row>
    <row r="37" spans="8:8" ht="35.05">
      <c r="A37" s="30" t="s">
        <v>2166</v>
      </c>
      <c r="B37" s="43" t="s">
        <v>2167</v>
      </c>
      <c r="C37" s="30" t="s">
        <v>2168</v>
      </c>
      <c r="D37" s="30" t="s">
        <v>2169</v>
      </c>
      <c r="E37" s="30" t="s">
        <v>2170</v>
      </c>
      <c r="F37" s="30" t="s">
        <v>2171</v>
      </c>
      <c r="G37" s="33" t="s">
        <v>30</v>
      </c>
      <c r="H37" s="44">
        <f>$K$5</f>
        <v>46412.0</v>
      </c>
      <c r="I37" s="44">
        <f>$K$6</f>
        <v>46430.0</v>
      </c>
      <c r="J37" s="33"/>
      <c r="K37" s="33" t="s">
        <v>245</v>
      </c>
      <c r="L37" s="33"/>
      <c r="M37" s="45" t="str">
        <f>IF(L37="Compliant",1,IF(L37="Partially Compliant",0.5,IF(L37="Non-Compliant",0,"")))</f>
        <v/>
      </c>
      <c r="N37" s="33"/>
      <c r="O37" s="33"/>
      <c r="P37" s="33"/>
      <c r="Q37" s="31"/>
    </row>
    <row r="38" spans="8:8" ht="23.85">
      <c r="A38" s="30" t="s">
        <v>2172</v>
      </c>
      <c r="B38" s="43" t="s">
        <v>2173</v>
      </c>
      <c r="C38" s="30" t="s">
        <v>168</v>
      </c>
      <c r="D38" s="30" t="s">
        <v>2174</v>
      </c>
      <c r="E38" s="30" t="s">
        <v>2175</v>
      </c>
      <c r="F38" s="30" t="s">
        <v>2176</v>
      </c>
      <c r="G38" s="33" t="s">
        <v>30</v>
      </c>
      <c r="H38" s="44">
        <f>$K$5</f>
        <v>46412.0</v>
      </c>
      <c r="I38" s="44">
        <f>$K$6</f>
        <v>46430.0</v>
      </c>
      <c r="J38" s="33"/>
      <c r="K38" s="33" t="s">
        <v>245</v>
      </c>
      <c r="L38" s="33"/>
      <c r="M38" s="45" t="str">
        <f>IF(L38="Compliant",1,IF(L38="Partially Compliant",0.5,IF(L38="Non-Compliant",0,"")))</f>
        <v/>
      </c>
      <c r="N38" s="33"/>
      <c r="O38" s="33"/>
      <c r="P38" s="33"/>
      <c r="Q38" s="31"/>
    </row>
    <row r="39" spans="8:8" ht="35.05">
      <c r="A39" s="30" t="s">
        <v>2177</v>
      </c>
      <c r="B39" s="43" t="s">
        <v>2178</v>
      </c>
      <c r="C39" s="30" t="s">
        <v>746</v>
      </c>
      <c r="D39" s="30" t="s">
        <v>2179</v>
      </c>
      <c r="E39" s="30" t="s">
        <v>2180</v>
      </c>
      <c r="F39" s="30" t="s">
        <v>2181</v>
      </c>
      <c r="G39" s="33" t="s">
        <v>30</v>
      </c>
      <c r="H39" s="44">
        <f>$K$5</f>
        <v>46412.0</v>
      </c>
      <c r="I39" s="44">
        <f>$K$6</f>
        <v>46430.0</v>
      </c>
      <c r="J39" s="33"/>
      <c r="K39" s="33" t="s">
        <v>245</v>
      </c>
      <c r="L39" s="33"/>
      <c r="M39" s="45" t="str">
        <f>IF(L39="Compliant",1,IF(L39="Partially Compliant",0.5,IF(L39="Non-Compliant",0,"")))</f>
        <v/>
      </c>
      <c r="N39" s="33"/>
      <c r="O39" s="33"/>
      <c r="P39" s="33"/>
      <c r="Q39" s="31"/>
    </row>
    <row r="41" spans="8:8" ht="15.0">
      <c r="A41" s="27" t="s">
        <v>439</v>
      </c>
    </row>
  </sheetData>
  <autoFilter ref="A14:Q39">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9">
    <cfRule type="cellIs" operator="equal" priority="3" dxfId="127">
      <formula>"Partially Compliant"</formula>
    </cfRule>
    <cfRule type="cellIs" operator="equal" priority="4" dxfId="128">
      <formula>"Non-Compliant"</formula>
    </cfRule>
    <cfRule type="cellIs" operator="equal" priority="2" dxfId="129">
      <formula>"Compliant"</formula>
    </cfRule>
  </conditionalFormatting>
  <conditionalFormatting sqref="G15:G39">
    <cfRule type="cellIs" operator="equal" priority="5" dxfId="130">
      <formula>"High"</formula>
    </cfRule>
  </conditionalFormatting>
  <dataValidations count="4">
    <dataValidation allowBlank="1" type="list" errorStyle="stop" sqref="G15:G39">
      <formula1>"High,Medium,Low"</formula1>
      <formula2>0</formula2>
    </dataValidation>
    <dataValidation allowBlank="1" type="list" errorStyle="stop" sqref="K15:K39">
      <formula1>"Not Started,In Progress,Fieldwork Done,Reported,Completed"</formula1>
      <formula2>0</formula2>
    </dataValidation>
    <dataValidation allowBlank="1" type="list" errorStyle="stop" sqref="L15:L39">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7.xml><?xml version="1.0" encoding="utf-8"?>
<worksheet xmlns:r="http://schemas.openxmlformats.org/officeDocument/2006/relationships" xmlns="http://schemas.openxmlformats.org/spreadsheetml/2006/main">
  <sheetPr>
    <tabColor rgb="FFC55A11"/>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2182</v>
      </c>
      <c r="N1" s="34" t="s">
        <v>277</v>
      </c>
    </row>
    <row r="2" spans="8:8" ht="15.0">
      <c r="A2" s="12" t="s">
        <v>278</v>
      </c>
    </row>
    <row r="4" spans="8:8" ht="15.75" customHeight="1">
      <c r="A4" s="35" t="s">
        <v>59</v>
      </c>
      <c r="B4" s="35"/>
      <c r="C4" s="36" t="s">
        <v>107</v>
      </c>
      <c r="D4" s="36"/>
      <c r="E4" s="36"/>
      <c r="F4" s="36"/>
      <c r="H4" s="35" t="s">
        <v>279</v>
      </c>
      <c r="I4" s="35"/>
      <c r="J4" s="35"/>
      <c r="K4" s="37" t="s">
        <v>280</v>
      </c>
    </row>
    <row r="5" spans="8:8" ht="15.75" customHeight="1">
      <c r="A5" s="35" t="s">
        <v>281</v>
      </c>
      <c r="B5" s="35"/>
      <c r="C5" s="36" t="s">
        <v>54</v>
      </c>
      <c r="D5" s="36"/>
      <c r="E5" s="36"/>
      <c r="F5" s="36"/>
      <c r="H5" s="35" t="s">
        <v>63</v>
      </c>
      <c r="I5" s="35"/>
      <c r="J5" s="35"/>
      <c r="K5" s="38">
        <v>46412.0</v>
      </c>
    </row>
    <row r="6" spans="8:8" ht="15.75" customHeight="1">
      <c r="A6" s="35" t="s">
        <v>282</v>
      </c>
      <c r="B6" s="35"/>
      <c r="C6" s="36" t="s">
        <v>82</v>
      </c>
      <c r="D6" s="36"/>
      <c r="E6" s="36"/>
      <c r="F6" s="36"/>
      <c r="H6" s="35" t="s">
        <v>283</v>
      </c>
      <c r="I6" s="35"/>
      <c r="J6" s="35"/>
      <c r="K6" s="38">
        <v>46430.0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2183</v>
      </c>
      <c r="D8" s="36"/>
      <c r="E8" s="36"/>
      <c r="F8" s="36"/>
      <c r="H8" s="35" t="s">
        <v>34</v>
      </c>
      <c r="I8" s="35"/>
      <c r="J8" s="35"/>
      <c r="K8" s="40">
        <f>COUNTIF(K15:K38,"Completed")</f>
        <v>0.0</v>
      </c>
    </row>
    <row r="9" spans="8:8" ht="15.75" customHeight="1">
      <c r="A9" s="35" t="s">
        <v>287</v>
      </c>
      <c r="B9" s="35"/>
      <c r="C9" s="36" t="s">
        <v>2184</v>
      </c>
      <c r="D9" s="36"/>
      <c r="E9" s="36"/>
      <c r="F9" s="36"/>
      <c r="H9" s="35" t="s">
        <v>64</v>
      </c>
      <c r="I9" s="35"/>
      <c r="J9" s="35"/>
      <c r="K9" s="40">
        <f>COUNTIF(L15:L38,"Compliant")</f>
        <v>0.0</v>
      </c>
    </row>
    <row r="10" spans="8:8" ht="15.75" customHeight="1">
      <c r="A10" s="35" t="s">
        <v>289</v>
      </c>
      <c r="B10" s="35"/>
      <c r="C10" s="36" t="s">
        <v>2185</v>
      </c>
      <c r="D10" s="36"/>
      <c r="E10" s="36"/>
      <c r="F10" s="36"/>
      <c r="H10" s="35" t="s">
        <v>36</v>
      </c>
      <c r="I10" s="35"/>
      <c r="J10" s="35"/>
      <c r="K10" s="40">
        <f>COUNTIF(L15:L38,"Partially Compliant")</f>
        <v>0.0</v>
      </c>
    </row>
    <row r="11" spans="8:8" ht="15.75" customHeight="1">
      <c r="A11" s="35" t="s">
        <v>291</v>
      </c>
      <c r="B11" s="35"/>
      <c r="C11" s="39" t="s">
        <v>146</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2186</v>
      </c>
      <c r="B15" s="30" t="s">
        <v>122</v>
      </c>
      <c r="C15" s="30" t="s">
        <v>123</v>
      </c>
      <c r="D15" s="30" t="s">
        <v>124</v>
      </c>
      <c r="E15" s="30" t="s">
        <v>2187</v>
      </c>
      <c r="F15" s="30" t="s">
        <v>126</v>
      </c>
      <c r="G15" s="33" t="s">
        <v>30</v>
      </c>
      <c r="H15" s="44">
        <f>$K$5</f>
        <v>46412.0</v>
      </c>
      <c r="I15" s="44">
        <f>$K$6</f>
        <v>46430.0</v>
      </c>
      <c r="J15" s="33"/>
      <c r="K15" s="33" t="s">
        <v>245</v>
      </c>
      <c r="L15" s="33"/>
      <c r="M15" s="45" t="str">
        <f>IF(L15="Compliant",1,IF(L15="Partially Compliant",0.5,IF(L15="Non-Compliant",0,"")))</f>
        <v/>
      </c>
      <c r="N15" s="33"/>
      <c r="O15" s="33"/>
      <c r="P15" s="33"/>
      <c r="Q15" s="31"/>
    </row>
    <row r="16" spans="8:8" ht="35.05">
      <c r="A16" s="30" t="s">
        <v>2188</v>
      </c>
      <c r="B16" s="30" t="s">
        <v>127</v>
      </c>
      <c r="C16" s="30" t="s">
        <v>128</v>
      </c>
      <c r="D16" s="30" t="s">
        <v>129</v>
      </c>
      <c r="E16" s="30" t="s">
        <v>2189</v>
      </c>
      <c r="F16" s="30" t="s">
        <v>131</v>
      </c>
      <c r="G16" s="33" t="s">
        <v>30</v>
      </c>
      <c r="H16" s="44">
        <f>$K$5</f>
        <v>46412.0</v>
      </c>
      <c r="I16" s="44">
        <f>$K$6</f>
        <v>46430.0</v>
      </c>
      <c r="J16" s="33"/>
      <c r="K16" s="33" t="s">
        <v>245</v>
      </c>
      <c r="L16" s="33"/>
      <c r="M16" s="45" t="str">
        <f>IF(L16="Compliant",1,IF(L16="Partially Compliant",0.5,IF(L16="Non-Compliant",0,"")))</f>
        <v/>
      </c>
      <c r="N16" s="33"/>
      <c r="O16" s="33"/>
      <c r="P16" s="33"/>
      <c r="Q16" s="31"/>
    </row>
    <row r="17" spans="8:8" ht="35.05">
      <c r="A17" s="30" t="s">
        <v>2190</v>
      </c>
      <c r="B17" s="30" t="s">
        <v>132</v>
      </c>
      <c r="C17" s="30" t="s">
        <v>133</v>
      </c>
      <c r="D17" s="30" t="s">
        <v>134</v>
      </c>
      <c r="E17" s="30" t="s">
        <v>135</v>
      </c>
      <c r="F17" s="30" t="s">
        <v>136</v>
      </c>
      <c r="G17" s="33" t="s">
        <v>30</v>
      </c>
      <c r="H17" s="44">
        <f>$K$5</f>
        <v>46412.0</v>
      </c>
      <c r="I17" s="44">
        <f>$K$6</f>
        <v>46430.0</v>
      </c>
      <c r="J17" s="33"/>
      <c r="K17" s="33" t="s">
        <v>245</v>
      </c>
      <c r="L17" s="33"/>
      <c r="M17" s="45" t="str">
        <f>IF(L17="Compliant",1,IF(L17="Partially Compliant",0.5,IF(L17="Non-Compliant",0,"")))</f>
        <v/>
      </c>
      <c r="N17" s="33"/>
      <c r="O17" s="33"/>
      <c r="P17" s="33"/>
      <c r="Q17" s="31"/>
    </row>
    <row r="18" spans="8:8" ht="57.45">
      <c r="A18" s="30" t="s">
        <v>2191</v>
      </c>
      <c r="B18" s="30" t="s">
        <v>28</v>
      </c>
      <c r="C18" s="30" t="s">
        <v>137</v>
      </c>
      <c r="D18" s="30" t="s">
        <v>138</v>
      </c>
      <c r="E18" s="30" t="s">
        <v>2192</v>
      </c>
      <c r="F18" s="30" t="s">
        <v>140</v>
      </c>
      <c r="G18" s="33" t="s">
        <v>30</v>
      </c>
      <c r="H18" s="44">
        <f>$K$5</f>
        <v>46412.0</v>
      </c>
      <c r="I18" s="44">
        <f>$K$6</f>
        <v>46430.0</v>
      </c>
      <c r="J18" s="33"/>
      <c r="K18" s="33" t="s">
        <v>245</v>
      </c>
      <c r="L18" s="33"/>
      <c r="M18" s="45" t="str">
        <f>IF(L18="Compliant",1,IF(L18="Partially Compliant",0.5,IF(L18="Non-Compliant",0,"")))</f>
        <v/>
      </c>
      <c r="N18" s="33"/>
      <c r="O18" s="33"/>
      <c r="P18" s="33"/>
      <c r="Q18" s="31"/>
    </row>
    <row r="19" spans="8:8" ht="35.05">
      <c r="A19" s="30" t="s">
        <v>2193</v>
      </c>
      <c r="B19" s="30" t="s">
        <v>141</v>
      </c>
      <c r="C19" s="30" t="s">
        <v>142</v>
      </c>
      <c r="D19" s="30" t="s">
        <v>143</v>
      </c>
      <c r="E19" s="30" t="s">
        <v>2194</v>
      </c>
      <c r="F19" s="30" t="s">
        <v>145</v>
      </c>
      <c r="G19" s="33" t="s">
        <v>146</v>
      </c>
      <c r="H19" s="44">
        <f>$K$5</f>
        <v>46412.0</v>
      </c>
      <c r="I19" s="44">
        <f>$K$6</f>
        <v>46430.0</v>
      </c>
      <c r="J19" s="33"/>
      <c r="K19" s="33" t="s">
        <v>245</v>
      </c>
      <c r="L19" s="33"/>
      <c r="M19" s="45" t="str">
        <f>IF(L19="Compliant",1,IF(L19="Partially Compliant",0.5,IF(L19="Non-Compliant",0,"")))</f>
        <v/>
      </c>
      <c r="N19" s="33"/>
      <c r="O19" s="33"/>
      <c r="P19" s="33"/>
      <c r="Q19" s="31"/>
    </row>
    <row r="20" spans="8:8" ht="46.25">
      <c r="A20" s="30" t="s">
        <v>2195</v>
      </c>
      <c r="B20" s="30" t="s">
        <v>147</v>
      </c>
      <c r="C20" s="30" t="s">
        <v>148</v>
      </c>
      <c r="D20" s="30" t="s">
        <v>149</v>
      </c>
      <c r="E20" s="30" t="s">
        <v>2196</v>
      </c>
      <c r="F20" s="30" t="s">
        <v>151</v>
      </c>
      <c r="G20" s="33" t="s">
        <v>146</v>
      </c>
      <c r="H20" s="44">
        <f>$K$5</f>
        <v>46412.0</v>
      </c>
      <c r="I20" s="44">
        <f>$K$6</f>
        <v>46430.0</v>
      </c>
      <c r="J20" s="33"/>
      <c r="K20" s="33" t="s">
        <v>245</v>
      </c>
      <c r="L20" s="33"/>
      <c r="M20" s="45" t="str">
        <f>IF(L20="Compliant",1,IF(L20="Partially Compliant",0.5,IF(L20="Non-Compliant",0,"")))</f>
        <v/>
      </c>
      <c r="N20" s="33"/>
      <c r="O20" s="33"/>
      <c r="P20" s="33"/>
      <c r="Q20" s="31"/>
    </row>
    <row r="21" spans="8:8" ht="35.05">
      <c r="A21" s="30" t="s">
        <v>2197</v>
      </c>
      <c r="B21" s="30" t="s">
        <v>152</v>
      </c>
      <c r="C21" s="30" t="s">
        <v>153</v>
      </c>
      <c r="D21" s="30" t="s">
        <v>154</v>
      </c>
      <c r="E21" s="30" t="s">
        <v>155</v>
      </c>
      <c r="F21" s="30" t="s">
        <v>156</v>
      </c>
      <c r="G21" s="33" t="s">
        <v>146</v>
      </c>
      <c r="H21" s="44">
        <f>$K$5</f>
        <v>46412.0</v>
      </c>
      <c r="I21" s="44">
        <f>$K$6</f>
        <v>46430.0</v>
      </c>
      <c r="J21" s="33"/>
      <c r="K21" s="33" t="s">
        <v>245</v>
      </c>
      <c r="L21" s="33"/>
      <c r="M21" s="45" t="str">
        <f>IF(L21="Compliant",1,IF(L21="Partially Compliant",0.5,IF(L21="Non-Compliant",0,"")))</f>
        <v/>
      </c>
      <c r="N21" s="33"/>
      <c r="O21" s="33"/>
      <c r="P21" s="33"/>
      <c r="Q21" s="31"/>
    </row>
    <row r="22" spans="8:8" ht="35.05">
      <c r="A22" s="30" t="s">
        <v>2198</v>
      </c>
      <c r="B22" s="30" t="s">
        <v>157</v>
      </c>
      <c r="C22" s="30" t="s">
        <v>158</v>
      </c>
      <c r="D22" s="30" t="s">
        <v>159</v>
      </c>
      <c r="E22" s="30" t="s">
        <v>160</v>
      </c>
      <c r="F22" s="30" t="s">
        <v>161</v>
      </c>
      <c r="G22" s="33" t="s">
        <v>146</v>
      </c>
      <c r="H22" s="44">
        <f>$K$5</f>
        <v>46412.0</v>
      </c>
      <c r="I22" s="44">
        <f>$K$6</f>
        <v>46430.0</v>
      </c>
      <c r="J22" s="33"/>
      <c r="K22" s="33" t="s">
        <v>245</v>
      </c>
      <c r="L22" s="33"/>
      <c r="M22" s="45" t="str">
        <f>IF(L22="Compliant",1,IF(L22="Partially Compliant",0.5,IF(L22="Non-Compliant",0,"")))</f>
        <v/>
      </c>
      <c r="N22" s="33"/>
      <c r="O22" s="33"/>
      <c r="P22" s="33"/>
      <c r="Q22" s="31"/>
    </row>
    <row r="23" spans="8:8" ht="35.05">
      <c r="A23" s="30" t="s">
        <v>2199</v>
      </c>
      <c r="B23" s="30" t="s">
        <v>162</v>
      </c>
      <c r="C23" s="30" t="s">
        <v>163</v>
      </c>
      <c r="D23" s="30" t="s">
        <v>164</v>
      </c>
      <c r="E23" s="30" t="s">
        <v>2200</v>
      </c>
      <c r="F23" s="30" t="s">
        <v>166</v>
      </c>
      <c r="G23" s="33" t="s">
        <v>146</v>
      </c>
      <c r="H23" s="44">
        <f>$K$5</f>
        <v>46412.0</v>
      </c>
      <c r="I23" s="44">
        <f>$K$6</f>
        <v>46430.0</v>
      </c>
      <c r="J23" s="33"/>
      <c r="K23" s="33" t="s">
        <v>245</v>
      </c>
      <c r="L23" s="33"/>
      <c r="M23" s="45" t="str">
        <f>IF(L23="Compliant",1,IF(L23="Partially Compliant",0.5,IF(L23="Non-Compliant",0,"")))</f>
        <v/>
      </c>
      <c r="N23" s="33"/>
      <c r="O23" s="33"/>
      <c r="P23" s="33"/>
      <c r="Q23" s="31"/>
    </row>
    <row r="24" spans="8:8" ht="35.05">
      <c r="A24" s="30" t="s">
        <v>2201</v>
      </c>
      <c r="B24" s="30" t="s">
        <v>167</v>
      </c>
      <c r="C24" s="30" t="s">
        <v>168</v>
      </c>
      <c r="D24" s="30" t="s">
        <v>169</v>
      </c>
      <c r="E24" s="30" t="s">
        <v>2202</v>
      </c>
      <c r="F24" s="30" t="s">
        <v>171</v>
      </c>
      <c r="G24" s="33" t="s">
        <v>30</v>
      </c>
      <c r="H24" s="44">
        <f>$K$5</f>
        <v>46412.0</v>
      </c>
      <c r="I24" s="44">
        <f>$K$6</f>
        <v>46430.0</v>
      </c>
      <c r="J24" s="33"/>
      <c r="K24" s="33" t="s">
        <v>245</v>
      </c>
      <c r="L24" s="33"/>
      <c r="M24" s="45" t="str">
        <f>IF(L24="Compliant",1,IF(L24="Partially Compliant",0.5,IF(L24="Non-Compliant",0,"")))</f>
        <v/>
      </c>
      <c r="N24" s="33"/>
      <c r="O24" s="33"/>
      <c r="P24" s="33"/>
      <c r="Q24" s="31"/>
    </row>
    <row r="25" spans="8:8" ht="35.05">
      <c r="A25" s="30" t="s">
        <v>2203</v>
      </c>
      <c r="B25" s="30" t="s">
        <v>172</v>
      </c>
      <c r="C25" s="30" t="s">
        <v>173</v>
      </c>
      <c r="D25" s="30" t="s">
        <v>174</v>
      </c>
      <c r="E25" s="30" t="s">
        <v>175</v>
      </c>
      <c r="F25" s="30" t="s">
        <v>176</v>
      </c>
      <c r="G25" s="33" t="s">
        <v>30</v>
      </c>
      <c r="H25" s="44">
        <f>$K$5</f>
        <v>46412.0</v>
      </c>
      <c r="I25" s="44">
        <f>$K$6</f>
        <v>46430.0</v>
      </c>
      <c r="J25" s="33"/>
      <c r="K25" s="33" t="s">
        <v>245</v>
      </c>
      <c r="L25" s="33"/>
      <c r="M25" s="45" t="str">
        <f>IF(L25="Compliant",1,IF(L25="Partially Compliant",0.5,IF(L25="Non-Compliant",0,"")))</f>
        <v/>
      </c>
      <c r="N25" s="33"/>
      <c r="O25" s="33"/>
      <c r="P25" s="33"/>
      <c r="Q25" s="31"/>
    </row>
    <row r="26" spans="8:8" ht="35.05">
      <c r="A26" s="30" t="s">
        <v>2204</v>
      </c>
      <c r="B26" s="30" t="s">
        <v>177</v>
      </c>
      <c r="C26" s="30" t="s">
        <v>178</v>
      </c>
      <c r="D26" s="30" t="s">
        <v>2205</v>
      </c>
      <c r="E26" s="30" t="s">
        <v>2206</v>
      </c>
      <c r="F26" s="30" t="s">
        <v>181</v>
      </c>
      <c r="G26" s="33" t="s">
        <v>30</v>
      </c>
      <c r="H26" s="44">
        <f>$K$5</f>
        <v>46412.0</v>
      </c>
      <c r="I26" s="44">
        <f>$K$6</f>
        <v>46430.0</v>
      </c>
      <c r="J26" s="33"/>
      <c r="K26" s="33" t="s">
        <v>245</v>
      </c>
      <c r="L26" s="33"/>
      <c r="M26" s="45" t="str">
        <f>IF(L26="Compliant",1,IF(L26="Partially Compliant",0.5,IF(L26="Non-Compliant",0,"")))</f>
        <v/>
      </c>
      <c r="N26" s="33"/>
      <c r="O26" s="33"/>
      <c r="P26" s="33"/>
      <c r="Q26" s="31"/>
    </row>
    <row r="27" spans="8:8" ht="35.05">
      <c r="A27" s="30" t="s">
        <v>2207</v>
      </c>
      <c r="B27" s="30" t="s">
        <v>182</v>
      </c>
      <c r="C27" s="30" t="s">
        <v>183</v>
      </c>
      <c r="D27" s="30" t="s">
        <v>184</v>
      </c>
      <c r="E27" s="30" t="s">
        <v>2208</v>
      </c>
      <c r="F27" s="30" t="s">
        <v>186</v>
      </c>
      <c r="G27" s="33" t="s">
        <v>30</v>
      </c>
      <c r="H27" s="44">
        <f>$K$5</f>
        <v>46412.0</v>
      </c>
      <c r="I27" s="44">
        <f>$K$6</f>
        <v>46430.0</v>
      </c>
      <c r="J27" s="33"/>
      <c r="K27" s="33" t="s">
        <v>245</v>
      </c>
      <c r="L27" s="33"/>
      <c r="M27" s="45" t="str">
        <f>IF(L27="Compliant",1,IF(L27="Partially Compliant",0.5,IF(L27="Non-Compliant",0,"")))</f>
        <v/>
      </c>
      <c r="N27" s="33"/>
      <c r="O27" s="33"/>
      <c r="P27" s="33"/>
      <c r="Q27" s="31"/>
    </row>
    <row r="28" spans="8:8" ht="35.05">
      <c r="A28" s="30" t="s">
        <v>2209</v>
      </c>
      <c r="B28" s="30" t="s">
        <v>187</v>
      </c>
      <c r="C28" s="30" t="s">
        <v>188</v>
      </c>
      <c r="D28" s="30" t="s">
        <v>189</v>
      </c>
      <c r="E28" s="30" t="s">
        <v>2210</v>
      </c>
      <c r="F28" s="30" t="s">
        <v>191</v>
      </c>
      <c r="G28" s="33" t="s">
        <v>146</v>
      </c>
      <c r="H28" s="44">
        <f>$K$5</f>
        <v>46412.0</v>
      </c>
      <c r="I28" s="44">
        <f>$K$6</f>
        <v>46430.0</v>
      </c>
      <c r="J28" s="33"/>
      <c r="K28" s="33" t="s">
        <v>245</v>
      </c>
      <c r="L28" s="33"/>
      <c r="M28" s="45" t="str">
        <f>IF(L28="Compliant",1,IF(L28="Partially Compliant",0.5,IF(L28="Non-Compliant",0,"")))</f>
        <v/>
      </c>
      <c r="N28" s="33"/>
      <c r="O28" s="33"/>
      <c r="P28" s="33"/>
      <c r="Q28" s="31"/>
    </row>
    <row r="29" spans="8:8" ht="35.05">
      <c r="A29" s="30" t="s">
        <v>2211</v>
      </c>
      <c r="B29" s="30" t="s">
        <v>192</v>
      </c>
      <c r="C29" s="30" t="s">
        <v>193</v>
      </c>
      <c r="D29" s="30" t="s">
        <v>194</v>
      </c>
      <c r="E29" s="30" t="s">
        <v>2212</v>
      </c>
      <c r="F29" s="30" t="s">
        <v>196</v>
      </c>
      <c r="G29" s="33" t="s">
        <v>30</v>
      </c>
      <c r="H29" s="44">
        <f>$K$5</f>
        <v>46412.0</v>
      </c>
      <c r="I29" s="44">
        <f>$K$6</f>
        <v>46430.0</v>
      </c>
      <c r="J29" s="33"/>
      <c r="K29" s="33" t="s">
        <v>245</v>
      </c>
      <c r="L29" s="33"/>
      <c r="M29" s="45" t="str">
        <f>IF(L29="Compliant",1,IF(L29="Partially Compliant",0.5,IF(L29="Non-Compliant",0,"")))</f>
        <v/>
      </c>
      <c r="N29" s="33"/>
      <c r="O29" s="33"/>
      <c r="P29" s="33"/>
      <c r="Q29" s="31"/>
    </row>
    <row r="30" spans="8:8" ht="35.05">
      <c r="A30" s="30" t="s">
        <v>2213</v>
      </c>
      <c r="B30" s="30" t="s">
        <v>197</v>
      </c>
      <c r="C30" s="30" t="s">
        <v>198</v>
      </c>
      <c r="D30" s="30" t="s">
        <v>199</v>
      </c>
      <c r="E30" s="30" t="s">
        <v>2214</v>
      </c>
      <c r="F30" s="30" t="s">
        <v>201</v>
      </c>
      <c r="G30" s="33" t="s">
        <v>146</v>
      </c>
      <c r="H30" s="44">
        <f>$K$5</f>
        <v>46412.0</v>
      </c>
      <c r="I30" s="44">
        <f>$K$6</f>
        <v>46430.0</v>
      </c>
      <c r="J30" s="33"/>
      <c r="K30" s="33" t="s">
        <v>245</v>
      </c>
      <c r="L30" s="33"/>
      <c r="M30" s="45" t="str">
        <f>IF(L30="Compliant",1,IF(L30="Partially Compliant",0.5,IF(L30="Non-Compliant",0,"")))</f>
        <v/>
      </c>
      <c r="N30" s="33"/>
      <c r="O30" s="33"/>
      <c r="P30" s="33"/>
      <c r="Q30" s="31"/>
    </row>
    <row r="31" spans="8:8" ht="35.05">
      <c r="A31" s="30" t="s">
        <v>2215</v>
      </c>
      <c r="B31" s="30" t="s">
        <v>202</v>
      </c>
      <c r="C31" s="30" t="s">
        <v>203</v>
      </c>
      <c r="D31" s="30" t="s">
        <v>204</v>
      </c>
      <c r="E31" s="30" t="s">
        <v>205</v>
      </c>
      <c r="F31" s="30" t="s">
        <v>206</v>
      </c>
      <c r="G31" s="33" t="s">
        <v>207</v>
      </c>
      <c r="H31" s="44">
        <f>$K$5</f>
        <v>46412.0</v>
      </c>
      <c r="I31" s="44">
        <f>$K$6</f>
        <v>46430.0</v>
      </c>
      <c r="J31" s="33"/>
      <c r="K31" s="33" t="s">
        <v>245</v>
      </c>
      <c r="L31" s="33"/>
      <c r="M31" s="45" t="str">
        <f>IF(L31="Compliant",1,IF(L31="Partially Compliant",0.5,IF(L31="Non-Compliant",0,"")))</f>
        <v/>
      </c>
      <c r="N31" s="33"/>
      <c r="O31" s="33"/>
      <c r="P31" s="33"/>
      <c r="Q31" s="31"/>
    </row>
    <row r="32" spans="8:8" ht="23.85">
      <c r="A32" s="30" t="s">
        <v>2216</v>
      </c>
      <c r="B32" s="30" t="s">
        <v>208</v>
      </c>
      <c r="C32" s="30" t="s">
        <v>209</v>
      </c>
      <c r="D32" s="30" t="s">
        <v>210</v>
      </c>
      <c r="E32" s="30" t="s">
        <v>2217</v>
      </c>
      <c r="F32" s="30" t="s">
        <v>212</v>
      </c>
      <c r="G32" s="33" t="s">
        <v>207</v>
      </c>
      <c r="H32" s="44">
        <f>$K$5</f>
        <v>46412.0</v>
      </c>
      <c r="I32" s="44">
        <f>$K$6</f>
        <v>46430.0</v>
      </c>
      <c r="J32" s="33"/>
      <c r="K32" s="33" t="s">
        <v>245</v>
      </c>
      <c r="L32" s="33"/>
      <c r="M32" s="45" t="str">
        <f>IF(L32="Compliant",1,IF(L32="Partially Compliant",0.5,IF(L32="Non-Compliant",0,"")))</f>
        <v/>
      </c>
      <c r="N32" s="33"/>
      <c r="O32" s="33"/>
      <c r="P32" s="33"/>
      <c r="Q32" s="31"/>
    </row>
    <row r="33" spans="8:8" ht="23.85">
      <c r="A33" s="30" t="s">
        <v>2218</v>
      </c>
      <c r="B33" s="30" t="s">
        <v>213</v>
      </c>
      <c r="C33" s="30" t="s">
        <v>214</v>
      </c>
      <c r="D33" s="30" t="s">
        <v>215</v>
      </c>
      <c r="E33" s="30" t="s">
        <v>2219</v>
      </c>
      <c r="F33" s="30" t="s">
        <v>217</v>
      </c>
      <c r="G33" s="33" t="s">
        <v>207</v>
      </c>
      <c r="H33" s="44">
        <f>$K$5</f>
        <v>46412.0</v>
      </c>
      <c r="I33" s="44">
        <f>$K$6</f>
        <v>46430.0</v>
      </c>
      <c r="J33" s="33"/>
      <c r="K33" s="33" t="s">
        <v>245</v>
      </c>
      <c r="L33" s="33"/>
      <c r="M33" s="45" t="str">
        <f>IF(L33="Compliant",1,IF(L33="Partially Compliant",0.5,IF(L33="Non-Compliant",0,"")))</f>
        <v/>
      </c>
      <c r="N33" s="33"/>
      <c r="O33" s="33"/>
      <c r="P33" s="33"/>
      <c r="Q33" s="31"/>
    </row>
    <row r="34" spans="8:8" ht="23.85">
      <c r="A34" s="30" t="s">
        <v>2220</v>
      </c>
      <c r="B34" s="30" t="s">
        <v>218</v>
      </c>
      <c r="C34" s="30" t="s">
        <v>219</v>
      </c>
      <c r="D34" s="30" t="s">
        <v>220</v>
      </c>
      <c r="E34" s="30" t="s">
        <v>2221</v>
      </c>
      <c r="F34" s="30" t="s">
        <v>222</v>
      </c>
      <c r="G34" s="33" t="s">
        <v>146</v>
      </c>
      <c r="H34" s="44">
        <f>$K$5</f>
        <v>46412.0</v>
      </c>
      <c r="I34" s="44">
        <f>$K$6</f>
        <v>46430.0</v>
      </c>
      <c r="J34" s="33"/>
      <c r="K34" s="33" t="s">
        <v>245</v>
      </c>
      <c r="L34" s="33"/>
      <c r="M34" s="45" t="str">
        <f>IF(L34="Compliant",1,IF(L34="Partially Compliant",0.5,IF(L34="Non-Compliant",0,"")))</f>
        <v/>
      </c>
      <c r="N34" s="33"/>
      <c r="O34" s="33"/>
      <c r="P34" s="33"/>
      <c r="Q34" s="31"/>
    </row>
    <row r="35" spans="8:8" ht="35.05">
      <c r="A35" s="30" t="s">
        <v>2222</v>
      </c>
      <c r="B35" s="30" t="s">
        <v>223</v>
      </c>
      <c r="C35" s="30" t="s">
        <v>224</v>
      </c>
      <c r="D35" s="30" t="s">
        <v>225</v>
      </c>
      <c r="E35" s="30" t="s">
        <v>2223</v>
      </c>
      <c r="F35" s="30" t="s">
        <v>227</v>
      </c>
      <c r="G35" s="33" t="s">
        <v>207</v>
      </c>
      <c r="H35" s="44">
        <f>$K$5</f>
        <v>46412.0</v>
      </c>
      <c r="I35" s="44">
        <f>$K$6</f>
        <v>46430.0</v>
      </c>
      <c r="J35" s="33"/>
      <c r="K35" s="33" t="s">
        <v>245</v>
      </c>
      <c r="L35" s="33"/>
      <c r="M35" s="45" t="str">
        <f>IF(L35="Compliant",1,IF(L35="Partially Compliant",0.5,IF(L35="Non-Compliant",0,"")))</f>
        <v/>
      </c>
      <c r="N35" s="33"/>
      <c r="O35" s="33"/>
      <c r="P35" s="33"/>
      <c r="Q35" s="31"/>
    </row>
    <row r="36" spans="8:8" ht="23.85">
      <c r="A36" s="30" t="s">
        <v>2224</v>
      </c>
      <c r="B36" s="30" t="s">
        <v>228</v>
      </c>
      <c r="C36" s="30" t="s">
        <v>229</v>
      </c>
      <c r="D36" s="30" t="s">
        <v>230</v>
      </c>
      <c r="E36" s="30" t="s">
        <v>2225</v>
      </c>
      <c r="F36" s="30" t="s">
        <v>232</v>
      </c>
      <c r="G36" s="33" t="s">
        <v>146</v>
      </c>
      <c r="H36" s="44">
        <f>$K$5</f>
        <v>46412.0</v>
      </c>
      <c r="I36" s="44">
        <f>$K$6</f>
        <v>46430.0</v>
      </c>
      <c r="J36" s="33"/>
      <c r="K36" s="33" t="s">
        <v>245</v>
      </c>
      <c r="L36" s="33"/>
      <c r="M36" s="45" t="str">
        <f>IF(L36="Compliant",1,IF(L36="Partially Compliant",0.5,IF(L36="Non-Compliant",0,"")))</f>
        <v/>
      </c>
      <c r="N36" s="33"/>
      <c r="O36" s="33"/>
      <c r="P36" s="33"/>
      <c r="Q36" s="31"/>
    </row>
    <row r="37" spans="8:8" ht="35.05">
      <c r="A37" s="30" t="s">
        <v>2226</v>
      </c>
      <c r="B37" s="43" t="s">
        <v>2227</v>
      </c>
      <c r="C37" s="30" t="s">
        <v>2228</v>
      </c>
      <c r="D37" s="30" t="s">
        <v>2229</v>
      </c>
      <c r="E37" s="30" t="s">
        <v>2230</v>
      </c>
      <c r="F37" s="30" t="s">
        <v>2231</v>
      </c>
      <c r="G37" s="33" t="s">
        <v>146</v>
      </c>
      <c r="H37" s="44">
        <f>$K$5</f>
        <v>46412.0</v>
      </c>
      <c r="I37" s="44">
        <f>$K$6</f>
        <v>46430.0</v>
      </c>
      <c r="J37" s="33"/>
      <c r="K37" s="33" t="s">
        <v>245</v>
      </c>
      <c r="L37" s="33"/>
      <c r="M37" s="45" t="str">
        <f>IF(L37="Compliant",1,IF(L37="Partially Compliant",0.5,IF(L37="Non-Compliant",0,"")))</f>
        <v/>
      </c>
      <c r="N37" s="33"/>
      <c r="O37" s="33"/>
      <c r="P37" s="33"/>
      <c r="Q37" s="31"/>
    </row>
    <row r="38" spans="8:8" ht="35.05">
      <c r="A38" s="30" t="s">
        <v>2232</v>
      </c>
      <c r="B38" s="43" t="s">
        <v>2233</v>
      </c>
      <c r="C38" s="30" t="s">
        <v>2234</v>
      </c>
      <c r="D38" s="30" t="s">
        <v>2235</v>
      </c>
      <c r="E38" s="30" t="s">
        <v>2236</v>
      </c>
      <c r="F38" s="30" t="s">
        <v>2237</v>
      </c>
      <c r="G38" s="33" t="s">
        <v>146</v>
      </c>
      <c r="H38" s="44">
        <f>$K$5</f>
        <v>46412.0</v>
      </c>
      <c r="I38" s="44">
        <f>$K$6</f>
        <v>46430.0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131">
      <formula>"Partially Compliant"</formula>
    </cfRule>
    <cfRule type="cellIs" operator="equal" priority="4" dxfId="132">
      <formula>"Non-Compliant"</formula>
    </cfRule>
    <cfRule type="cellIs" operator="equal" priority="2" dxfId="133">
      <formula>"Compliant"</formula>
    </cfRule>
  </conditionalFormatting>
  <conditionalFormatting sqref="G15:G38">
    <cfRule type="cellIs" operator="equal" priority="5" dxfId="134">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8.xml><?xml version="1.0" encoding="utf-8"?>
<worksheet xmlns:r="http://schemas.openxmlformats.org/officeDocument/2006/relationships" xmlns="http://schemas.openxmlformats.org/spreadsheetml/2006/main">
  <sheetPr>
    <tabColor rgb="FFBF8F00"/>
    <pageSetUpPr fitToPage="1"/>
  </sheetPr>
  <dimension ref="A1:R41"/>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2238</v>
      </c>
      <c r="N1" s="34" t="s">
        <v>277</v>
      </c>
    </row>
    <row r="2" spans="8:8" ht="15.0">
      <c r="A2" s="12" t="s">
        <v>278</v>
      </c>
    </row>
    <row r="4" spans="8:8" ht="15.75" customHeight="1">
      <c r="A4" s="35" t="s">
        <v>59</v>
      </c>
      <c r="B4" s="35"/>
      <c r="C4" s="36" t="s">
        <v>108</v>
      </c>
      <c r="D4" s="36"/>
      <c r="E4" s="36"/>
      <c r="F4" s="36"/>
      <c r="H4" s="35" t="s">
        <v>279</v>
      </c>
      <c r="I4" s="35"/>
      <c r="J4" s="35"/>
      <c r="K4" s="37" t="s">
        <v>280</v>
      </c>
    </row>
    <row r="5" spans="8:8" ht="15.75" customHeight="1">
      <c r="A5" s="35" t="s">
        <v>281</v>
      </c>
      <c r="B5" s="35"/>
      <c r="C5" s="36" t="s">
        <v>55</v>
      </c>
      <c r="D5" s="36"/>
      <c r="E5" s="36"/>
      <c r="F5" s="36"/>
      <c r="H5" s="35" t="s">
        <v>63</v>
      </c>
      <c r="I5" s="35"/>
      <c r="J5" s="35"/>
      <c r="K5" s="38">
        <v>46433.0</v>
      </c>
    </row>
    <row r="6" spans="8:8" ht="15.75" customHeight="1">
      <c r="A6" s="35" t="s">
        <v>282</v>
      </c>
      <c r="B6" s="35"/>
      <c r="C6" s="36" t="s">
        <v>82</v>
      </c>
      <c r="D6" s="36"/>
      <c r="E6" s="36"/>
      <c r="F6" s="36"/>
      <c r="H6" s="35" t="s">
        <v>283</v>
      </c>
      <c r="I6" s="35"/>
      <c r="J6" s="35"/>
      <c r="K6" s="38">
        <v>46444.0</v>
      </c>
    </row>
    <row r="7" spans="8:8" ht="15.75" customHeight="1">
      <c r="A7" s="35" t="s">
        <v>61</v>
      </c>
      <c r="B7" s="35"/>
      <c r="C7" s="39" t="s">
        <v>280</v>
      </c>
      <c r="D7" s="39"/>
      <c r="E7" s="39"/>
      <c r="F7" s="39"/>
      <c r="H7" s="35" t="s">
        <v>284</v>
      </c>
      <c r="I7" s="35"/>
      <c r="J7" s="35"/>
      <c r="K7" s="40">
        <f>COUNTA(A15:A39)</f>
        <v>25.0</v>
      </c>
    </row>
    <row r="8" spans="8:8" ht="15.75" customHeight="1">
      <c r="A8" s="35" t="s">
        <v>285</v>
      </c>
      <c r="B8" s="35"/>
      <c r="C8" s="36" t="s">
        <v>2239</v>
      </c>
      <c r="D8" s="36"/>
      <c r="E8" s="36"/>
      <c r="F8" s="36"/>
      <c r="H8" s="35" t="s">
        <v>34</v>
      </c>
      <c r="I8" s="35"/>
      <c r="J8" s="35"/>
      <c r="K8" s="40">
        <f>COUNTIF(K15:K39,"Completed")</f>
        <v>0.0</v>
      </c>
    </row>
    <row r="9" spans="8:8" ht="15.75" customHeight="1">
      <c r="A9" s="35" t="s">
        <v>287</v>
      </c>
      <c r="B9" s="35"/>
      <c r="C9" s="36" t="s">
        <v>2240</v>
      </c>
      <c r="D9" s="36"/>
      <c r="E9" s="36"/>
      <c r="F9" s="36"/>
      <c r="H9" s="35" t="s">
        <v>64</v>
      </c>
      <c r="I9" s="35"/>
      <c r="J9" s="35"/>
      <c r="K9" s="40">
        <f>COUNTIF(L15:L39,"Compliant")</f>
        <v>0.0</v>
      </c>
    </row>
    <row r="10" spans="8:8" ht="15.75" customHeight="1">
      <c r="A10" s="35" t="s">
        <v>289</v>
      </c>
      <c r="B10" s="35"/>
      <c r="C10" s="36" t="s">
        <v>2241</v>
      </c>
      <c r="D10" s="36"/>
      <c r="E10" s="36"/>
      <c r="F10" s="36"/>
      <c r="H10" s="35" t="s">
        <v>36</v>
      </c>
      <c r="I10" s="35"/>
      <c r="J10" s="35"/>
      <c r="K10" s="40">
        <f>COUNTIF(L15:L39,"Partially Compliant")</f>
        <v>0.0</v>
      </c>
    </row>
    <row r="11" spans="8:8" ht="15.75" customHeight="1">
      <c r="A11" s="35" t="s">
        <v>291</v>
      </c>
      <c r="B11" s="35"/>
      <c r="C11" s="39" t="s">
        <v>30</v>
      </c>
      <c r="D11" s="39"/>
      <c r="E11" s="39"/>
      <c r="F11" s="39"/>
      <c r="H11" s="35" t="s">
        <v>49</v>
      </c>
      <c r="I11" s="35"/>
      <c r="J11" s="35"/>
      <c r="K11" s="40">
        <f>COUNTIF(L15:L39,"Non-Compliant")</f>
        <v>0.0</v>
      </c>
    </row>
    <row r="12" spans="8:8" ht="15.0">
      <c r="H12" s="35" t="s">
        <v>292</v>
      </c>
      <c r="I12" s="35"/>
      <c r="J12" s="35"/>
      <c r="K12" s="40">
        <f>COUNTIF(L15:L39,"Not Applicable")</f>
        <v>0.0</v>
      </c>
    </row>
    <row r="13" spans="8:8" ht="15.0">
      <c r="H13" s="35" t="s">
        <v>293</v>
      </c>
      <c r="I13" s="35"/>
      <c r="J13" s="35"/>
      <c r="K13" s="41" t="str">
        <f>_xlfn.IFERROR(AVERAGE(M15:M39),"")</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2242</v>
      </c>
      <c r="B15" s="30" t="s">
        <v>122</v>
      </c>
      <c r="C15" s="30" t="s">
        <v>123</v>
      </c>
      <c r="D15" s="30" t="s">
        <v>124</v>
      </c>
      <c r="E15" s="30" t="s">
        <v>2243</v>
      </c>
      <c r="F15" s="30" t="s">
        <v>126</v>
      </c>
      <c r="G15" s="33" t="s">
        <v>30</v>
      </c>
      <c r="H15" s="44">
        <f>$K$5</f>
        <v>46433.0</v>
      </c>
      <c r="I15" s="44">
        <f>$K$6</f>
        <v>46444.0</v>
      </c>
      <c r="J15" s="33"/>
      <c r="K15" s="33" t="s">
        <v>245</v>
      </c>
      <c r="L15" s="33"/>
      <c r="M15" s="45" t="str">
        <f>IF(L15="Compliant",1,IF(L15="Partially Compliant",0.5,IF(L15="Non-Compliant",0,"")))</f>
        <v/>
      </c>
      <c r="N15" s="33"/>
      <c r="O15" s="33"/>
      <c r="P15" s="33"/>
      <c r="Q15" s="31"/>
    </row>
    <row r="16" spans="8:8" ht="35.05">
      <c r="A16" s="30" t="s">
        <v>2244</v>
      </c>
      <c r="B16" s="30" t="s">
        <v>127</v>
      </c>
      <c r="C16" s="30" t="s">
        <v>128</v>
      </c>
      <c r="D16" s="30" t="s">
        <v>129</v>
      </c>
      <c r="E16" s="30" t="s">
        <v>2245</v>
      </c>
      <c r="F16" s="30" t="s">
        <v>131</v>
      </c>
      <c r="G16" s="33" t="s">
        <v>30</v>
      </c>
      <c r="H16" s="44">
        <f>$K$5</f>
        <v>46433.0</v>
      </c>
      <c r="I16" s="44">
        <f>$K$6</f>
        <v>46444.0</v>
      </c>
      <c r="J16" s="33"/>
      <c r="K16" s="33" t="s">
        <v>245</v>
      </c>
      <c r="L16" s="33"/>
      <c r="M16" s="45" t="str">
        <f>IF(L16="Compliant",1,IF(L16="Partially Compliant",0.5,IF(L16="Non-Compliant",0,"")))</f>
        <v/>
      </c>
      <c r="N16" s="33"/>
      <c r="O16" s="33"/>
      <c r="P16" s="33"/>
      <c r="Q16" s="31"/>
    </row>
    <row r="17" spans="8:8" ht="35.05">
      <c r="A17" s="30" t="s">
        <v>2246</v>
      </c>
      <c r="B17" s="30" t="s">
        <v>132</v>
      </c>
      <c r="C17" s="30" t="s">
        <v>133</v>
      </c>
      <c r="D17" s="30" t="s">
        <v>134</v>
      </c>
      <c r="E17" s="30" t="s">
        <v>135</v>
      </c>
      <c r="F17" s="30" t="s">
        <v>136</v>
      </c>
      <c r="G17" s="33" t="s">
        <v>30</v>
      </c>
      <c r="H17" s="44">
        <f>$K$5</f>
        <v>46433.0</v>
      </c>
      <c r="I17" s="44">
        <f>$K$6</f>
        <v>46444.0</v>
      </c>
      <c r="J17" s="33"/>
      <c r="K17" s="33" t="s">
        <v>245</v>
      </c>
      <c r="L17" s="33"/>
      <c r="M17" s="45" t="str">
        <f>IF(L17="Compliant",1,IF(L17="Partially Compliant",0.5,IF(L17="Non-Compliant",0,"")))</f>
        <v/>
      </c>
      <c r="N17" s="33"/>
      <c r="O17" s="33"/>
      <c r="P17" s="33"/>
      <c r="Q17" s="31"/>
    </row>
    <row r="18" spans="8:8" ht="57.45">
      <c r="A18" s="30" t="s">
        <v>2247</v>
      </c>
      <c r="B18" s="30" t="s">
        <v>28</v>
      </c>
      <c r="C18" s="30" t="s">
        <v>137</v>
      </c>
      <c r="D18" s="30" t="s">
        <v>138</v>
      </c>
      <c r="E18" s="30" t="s">
        <v>2248</v>
      </c>
      <c r="F18" s="30" t="s">
        <v>140</v>
      </c>
      <c r="G18" s="33" t="s">
        <v>30</v>
      </c>
      <c r="H18" s="44">
        <f>$K$5</f>
        <v>46433.0</v>
      </c>
      <c r="I18" s="44">
        <f>$K$6</f>
        <v>46444.0</v>
      </c>
      <c r="J18" s="33"/>
      <c r="K18" s="33" t="s">
        <v>245</v>
      </c>
      <c r="L18" s="33"/>
      <c r="M18" s="45" t="str">
        <f>IF(L18="Compliant",1,IF(L18="Partially Compliant",0.5,IF(L18="Non-Compliant",0,"")))</f>
        <v/>
      </c>
      <c r="N18" s="33"/>
      <c r="O18" s="33"/>
      <c r="P18" s="33"/>
      <c r="Q18" s="31"/>
    </row>
    <row r="19" spans="8:8" ht="35.05">
      <c r="A19" s="30" t="s">
        <v>2249</v>
      </c>
      <c r="B19" s="30" t="s">
        <v>141</v>
      </c>
      <c r="C19" s="30" t="s">
        <v>142</v>
      </c>
      <c r="D19" s="30" t="s">
        <v>143</v>
      </c>
      <c r="E19" s="30" t="s">
        <v>2250</v>
      </c>
      <c r="F19" s="30" t="s">
        <v>145</v>
      </c>
      <c r="G19" s="33" t="s">
        <v>30</v>
      </c>
      <c r="H19" s="44">
        <f>$K$5</f>
        <v>46433.0</v>
      </c>
      <c r="I19" s="44">
        <f>$K$6</f>
        <v>46444.0</v>
      </c>
      <c r="J19" s="33"/>
      <c r="K19" s="33" t="s">
        <v>245</v>
      </c>
      <c r="L19" s="33"/>
      <c r="M19" s="45" t="str">
        <f>IF(L19="Compliant",1,IF(L19="Partially Compliant",0.5,IF(L19="Non-Compliant",0,"")))</f>
        <v/>
      </c>
      <c r="N19" s="33"/>
      <c r="O19" s="33"/>
      <c r="P19" s="33"/>
      <c r="Q19" s="31"/>
    </row>
    <row r="20" spans="8:8" ht="46.25">
      <c r="A20" s="30" t="s">
        <v>2251</v>
      </c>
      <c r="B20" s="30" t="s">
        <v>147</v>
      </c>
      <c r="C20" s="30" t="s">
        <v>148</v>
      </c>
      <c r="D20" s="30" t="s">
        <v>149</v>
      </c>
      <c r="E20" s="30" t="s">
        <v>2252</v>
      </c>
      <c r="F20" s="30" t="s">
        <v>151</v>
      </c>
      <c r="G20" s="33" t="s">
        <v>30</v>
      </c>
      <c r="H20" s="44">
        <f>$K$5</f>
        <v>46433.0</v>
      </c>
      <c r="I20" s="44">
        <f>$K$6</f>
        <v>46444.0</v>
      </c>
      <c r="J20" s="33"/>
      <c r="K20" s="33" t="s">
        <v>245</v>
      </c>
      <c r="L20" s="33"/>
      <c r="M20" s="45" t="str">
        <f>IF(L20="Compliant",1,IF(L20="Partially Compliant",0.5,IF(L20="Non-Compliant",0,"")))</f>
        <v/>
      </c>
      <c r="N20" s="33"/>
      <c r="O20" s="33"/>
      <c r="P20" s="33"/>
      <c r="Q20" s="31"/>
    </row>
    <row r="21" spans="8:8" ht="35.05">
      <c r="A21" s="30" t="s">
        <v>2253</v>
      </c>
      <c r="B21" s="30" t="s">
        <v>152</v>
      </c>
      <c r="C21" s="30" t="s">
        <v>153</v>
      </c>
      <c r="D21" s="30" t="s">
        <v>154</v>
      </c>
      <c r="E21" s="30" t="s">
        <v>155</v>
      </c>
      <c r="F21" s="30" t="s">
        <v>156</v>
      </c>
      <c r="G21" s="33" t="s">
        <v>30</v>
      </c>
      <c r="H21" s="44">
        <f>$K$5</f>
        <v>46433.0</v>
      </c>
      <c r="I21" s="44">
        <f>$K$6</f>
        <v>46444.0</v>
      </c>
      <c r="J21" s="33"/>
      <c r="K21" s="33" t="s">
        <v>245</v>
      </c>
      <c r="L21" s="33"/>
      <c r="M21" s="45" t="str">
        <f>IF(L21="Compliant",1,IF(L21="Partially Compliant",0.5,IF(L21="Non-Compliant",0,"")))</f>
        <v/>
      </c>
      <c r="N21" s="33"/>
      <c r="O21" s="33"/>
      <c r="P21" s="33"/>
      <c r="Q21" s="31"/>
    </row>
    <row r="22" spans="8:8" ht="35.05">
      <c r="A22" s="30" t="s">
        <v>2254</v>
      </c>
      <c r="B22" s="30" t="s">
        <v>157</v>
      </c>
      <c r="C22" s="30" t="s">
        <v>158</v>
      </c>
      <c r="D22" s="30" t="s">
        <v>159</v>
      </c>
      <c r="E22" s="30" t="s">
        <v>160</v>
      </c>
      <c r="F22" s="30" t="s">
        <v>161</v>
      </c>
      <c r="G22" s="33" t="s">
        <v>30</v>
      </c>
      <c r="H22" s="44">
        <f>$K$5</f>
        <v>46433.0</v>
      </c>
      <c r="I22" s="44">
        <f>$K$6</f>
        <v>46444.0</v>
      </c>
      <c r="J22" s="33"/>
      <c r="K22" s="33" t="s">
        <v>245</v>
      </c>
      <c r="L22" s="33"/>
      <c r="M22" s="45" t="str">
        <f>IF(L22="Compliant",1,IF(L22="Partially Compliant",0.5,IF(L22="Non-Compliant",0,"")))</f>
        <v/>
      </c>
      <c r="N22" s="33"/>
      <c r="O22" s="33"/>
      <c r="P22" s="33"/>
      <c r="Q22" s="31"/>
    </row>
    <row r="23" spans="8:8" ht="35.05">
      <c r="A23" s="30" t="s">
        <v>2255</v>
      </c>
      <c r="B23" s="30" t="s">
        <v>162</v>
      </c>
      <c r="C23" s="30" t="s">
        <v>163</v>
      </c>
      <c r="D23" s="30" t="s">
        <v>164</v>
      </c>
      <c r="E23" s="30" t="s">
        <v>2256</v>
      </c>
      <c r="F23" s="30" t="s">
        <v>166</v>
      </c>
      <c r="G23" s="33" t="s">
        <v>30</v>
      </c>
      <c r="H23" s="44">
        <f>$K$5</f>
        <v>46433.0</v>
      </c>
      <c r="I23" s="44">
        <f>$K$6</f>
        <v>46444.0</v>
      </c>
      <c r="J23" s="33"/>
      <c r="K23" s="33" t="s">
        <v>245</v>
      </c>
      <c r="L23" s="33"/>
      <c r="M23" s="45" t="str">
        <f>IF(L23="Compliant",1,IF(L23="Partially Compliant",0.5,IF(L23="Non-Compliant",0,"")))</f>
        <v/>
      </c>
      <c r="N23" s="33"/>
      <c r="O23" s="33"/>
      <c r="P23" s="33"/>
      <c r="Q23" s="31"/>
    </row>
    <row r="24" spans="8:8" ht="35.05">
      <c r="A24" s="30" t="s">
        <v>2257</v>
      </c>
      <c r="B24" s="30" t="s">
        <v>167</v>
      </c>
      <c r="C24" s="30" t="s">
        <v>168</v>
      </c>
      <c r="D24" s="30" t="s">
        <v>169</v>
      </c>
      <c r="E24" s="30" t="s">
        <v>2258</v>
      </c>
      <c r="F24" s="30" t="s">
        <v>171</v>
      </c>
      <c r="G24" s="33" t="s">
        <v>30</v>
      </c>
      <c r="H24" s="44">
        <f>$K$5</f>
        <v>46433.0</v>
      </c>
      <c r="I24" s="44">
        <f>$K$6</f>
        <v>46444.0</v>
      </c>
      <c r="J24" s="33"/>
      <c r="K24" s="33" t="s">
        <v>245</v>
      </c>
      <c r="L24" s="33"/>
      <c r="M24" s="45" t="str">
        <f>IF(L24="Compliant",1,IF(L24="Partially Compliant",0.5,IF(L24="Non-Compliant",0,"")))</f>
        <v/>
      </c>
      <c r="N24" s="33"/>
      <c r="O24" s="33"/>
      <c r="P24" s="33"/>
      <c r="Q24" s="31"/>
    </row>
    <row r="25" spans="8:8" ht="35.05">
      <c r="A25" s="30" t="s">
        <v>2259</v>
      </c>
      <c r="B25" s="30" t="s">
        <v>172</v>
      </c>
      <c r="C25" s="30" t="s">
        <v>173</v>
      </c>
      <c r="D25" s="30" t="s">
        <v>174</v>
      </c>
      <c r="E25" s="30" t="s">
        <v>175</v>
      </c>
      <c r="F25" s="30" t="s">
        <v>176</v>
      </c>
      <c r="G25" s="33" t="s">
        <v>30</v>
      </c>
      <c r="H25" s="44">
        <f>$K$5</f>
        <v>46433.0</v>
      </c>
      <c r="I25" s="44">
        <f>$K$6</f>
        <v>46444.0</v>
      </c>
      <c r="J25" s="33"/>
      <c r="K25" s="33" t="s">
        <v>245</v>
      </c>
      <c r="L25" s="33"/>
      <c r="M25" s="45" t="str">
        <f>IF(L25="Compliant",1,IF(L25="Partially Compliant",0.5,IF(L25="Non-Compliant",0,"")))</f>
        <v/>
      </c>
      <c r="N25" s="33"/>
      <c r="O25" s="33"/>
      <c r="P25" s="33"/>
      <c r="Q25" s="31"/>
    </row>
    <row r="26" spans="8:8" ht="35.05">
      <c r="A26" s="30" t="s">
        <v>2260</v>
      </c>
      <c r="B26" s="30" t="s">
        <v>177</v>
      </c>
      <c r="C26" s="30" t="s">
        <v>178</v>
      </c>
      <c r="D26" s="30" t="s">
        <v>2261</v>
      </c>
      <c r="E26" s="30" t="s">
        <v>2262</v>
      </c>
      <c r="F26" s="30" t="s">
        <v>181</v>
      </c>
      <c r="G26" s="33" t="s">
        <v>30</v>
      </c>
      <c r="H26" s="44">
        <f>$K$5</f>
        <v>46433.0</v>
      </c>
      <c r="I26" s="44">
        <f>$K$6</f>
        <v>46444.0</v>
      </c>
      <c r="J26" s="33"/>
      <c r="K26" s="33" t="s">
        <v>245</v>
      </c>
      <c r="L26" s="33"/>
      <c r="M26" s="45" t="str">
        <f>IF(L26="Compliant",1,IF(L26="Partially Compliant",0.5,IF(L26="Non-Compliant",0,"")))</f>
        <v/>
      </c>
      <c r="N26" s="33"/>
      <c r="O26" s="33"/>
      <c r="P26" s="33"/>
      <c r="Q26" s="31"/>
    </row>
    <row r="27" spans="8:8" ht="35.05">
      <c r="A27" s="30" t="s">
        <v>2263</v>
      </c>
      <c r="B27" s="30" t="s">
        <v>182</v>
      </c>
      <c r="C27" s="30" t="s">
        <v>183</v>
      </c>
      <c r="D27" s="30" t="s">
        <v>184</v>
      </c>
      <c r="E27" s="30" t="s">
        <v>2264</v>
      </c>
      <c r="F27" s="30" t="s">
        <v>186</v>
      </c>
      <c r="G27" s="33" t="s">
        <v>30</v>
      </c>
      <c r="H27" s="44">
        <f>$K$5</f>
        <v>46433.0</v>
      </c>
      <c r="I27" s="44">
        <f>$K$6</f>
        <v>46444.0</v>
      </c>
      <c r="J27" s="33"/>
      <c r="K27" s="33" t="s">
        <v>245</v>
      </c>
      <c r="L27" s="33"/>
      <c r="M27" s="45" t="str">
        <f>IF(L27="Compliant",1,IF(L27="Partially Compliant",0.5,IF(L27="Non-Compliant",0,"")))</f>
        <v/>
      </c>
      <c r="N27" s="33"/>
      <c r="O27" s="33"/>
      <c r="P27" s="33"/>
      <c r="Q27" s="31"/>
    </row>
    <row r="28" spans="8:8" ht="35.05">
      <c r="A28" s="30" t="s">
        <v>2265</v>
      </c>
      <c r="B28" s="30" t="s">
        <v>187</v>
      </c>
      <c r="C28" s="30" t="s">
        <v>188</v>
      </c>
      <c r="D28" s="30" t="s">
        <v>189</v>
      </c>
      <c r="E28" s="30" t="s">
        <v>2266</v>
      </c>
      <c r="F28" s="30" t="s">
        <v>191</v>
      </c>
      <c r="G28" s="33" t="s">
        <v>30</v>
      </c>
      <c r="H28" s="44">
        <f>$K$5</f>
        <v>46433.0</v>
      </c>
      <c r="I28" s="44">
        <f>$K$6</f>
        <v>46444.0</v>
      </c>
      <c r="J28" s="33"/>
      <c r="K28" s="33" t="s">
        <v>245</v>
      </c>
      <c r="L28" s="33"/>
      <c r="M28" s="45" t="str">
        <f>IF(L28="Compliant",1,IF(L28="Partially Compliant",0.5,IF(L28="Non-Compliant",0,"")))</f>
        <v/>
      </c>
      <c r="N28" s="33"/>
      <c r="O28" s="33"/>
      <c r="P28" s="33"/>
      <c r="Q28" s="31"/>
    </row>
    <row r="29" spans="8:8" ht="35.05">
      <c r="A29" s="30" t="s">
        <v>2267</v>
      </c>
      <c r="B29" s="30" t="s">
        <v>192</v>
      </c>
      <c r="C29" s="30" t="s">
        <v>193</v>
      </c>
      <c r="D29" s="30" t="s">
        <v>194</v>
      </c>
      <c r="E29" s="30" t="s">
        <v>2268</v>
      </c>
      <c r="F29" s="30" t="s">
        <v>196</v>
      </c>
      <c r="G29" s="33" t="s">
        <v>30</v>
      </c>
      <c r="H29" s="44">
        <f>$K$5</f>
        <v>46433.0</v>
      </c>
      <c r="I29" s="44">
        <f>$K$6</f>
        <v>46444.0</v>
      </c>
      <c r="J29" s="33"/>
      <c r="K29" s="33" t="s">
        <v>245</v>
      </c>
      <c r="L29" s="33"/>
      <c r="M29" s="45" t="str">
        <f>IF(L29="Compliant",1,IF(L29="Partially Compliant",0.5,IF(L29="Non-Compliant",0,"")))</f>
        <v/>
      </c>
      <c r="N29" s="33"/>
      <c r="O29" s="33"/>
      <c r="P29" s="33"/>
      <c r="Q29" s="31"/>
    </row>
    <row r="30" spans="8:8" ht="35.05">
      <c r="A30" s="30" t="s">
        <v>2269</v>
      </c>
      <c r="B30" s="30" t="s">
        <v>197</v>
      </c>
      <c r="C30" s="30" t="s">
        <v>198</v>
      </c>
      <c r="D30" s="30" t="s">
        <v>199</v>
      </c>
      <c r="E30" s="30" t="s">
        <v>2270</v>
      </c>
      <c r="F30" s="30" t="s">
        <v>201</v>
      </c>
      <c r="G30" s="33" t="s">
        <v>30</v>
      </c>
      <c r="H30" s="44">
        <f>$K$5</f>
        <v>46433.0</v>
      </c>
      <c r="I30" s="44">
        <f>$K$6</f>
        <v>46444.0</v>
      </c>
      <c r="J30" s="33"/>
      <c r="K30" s="33" t="s">
        <v>245</v>
      </c>
      <c r="L30" s="33"/>
      <c r="M30" s="45" t="str">
        <f>IF(L30="Compliant",1,IF(L30="Partially Compliant",0.5,IF(L30="Non-Compliant",0,"")))</f>
        <v/>
      </c>
      <c r="N30" s="33"/>
      <c r="O30" s="33"/>
      <c r="P30" s="33"/>
      <c r="Q30" s="31"/>
    </row>
    <row r="31" spans="8:8" ht="35.05">
      <c r="A31" s="30" t="s">
        <v>2271</v>
      </c>
      <c r="B31" s="30" t="s">
        <v>202</v>
      </c>
      <c r="C31" s="30" t="s">
        <v>203</v>
      </c>
      <c r="D31" s="30" t="s">
        <v>204</v>
      </c>
      <c r="E31" s="30" t="s">
        <v>205</v>
      </c>
      <c r="F31" s="30" t="s">
        <v>206</v>
      </c>
      <c r="G31" s="33" t="s">
        <v>207</v>
      </c>
      <c r="H31" s="44">
        <f>$K$5</f>
        <v>46433.0</v>
      </c>
      <c r="I31" s="44">
        <f>$K$6</f>
        <v>46444.0</v>
      </c>
      <c r="J31" s="33"/>
      <c r="K31" s="33" t="s">
        <v>245</v>
      </c>
      <c r="L31" s="33"/>
      <c r="M31" s="45" t="str">
        <f>IF(L31="Compliant",1,IF(L31="Partially Compliant",0.5,IF(L31="Non-Compliant",0,"")))</f>
        <v/>
      </c>
      <c r="N31" s="33"/>
      <c r="O31" s="33"/>
      <c r="P31" s="33"/>
      <c r="Q31" s="31"/>
    </row>
    <row r="32" spans="8:8" ht="23.85">
      <c r="A32" s="30" t="s">
        <v>2272</v>
      </c>
      <c r="B32" s="30" t="s">
        <v>208</v>
      </c>
      <c r="C32" s="30" t="s">
        <v>209</v>
      </c>
      <c r="D32" s="30" t="s">
        <v>210</v>
      </c>
      <c r="E32" s="30" t="s">
        <v>2273</v>
      </c>
      <c r="F32" s="30" t="s">
        <v>212</v>
      </c>
      <c r="G32" s="33" t="s">
        <v>207</v>
      </c>
      <c r="H32" s="44">
        <f>$K$5</f>
        <v>46433.0</v>
      </c>
      <c r="I32" s="44">
        <f>$K$6</f>
        <v>46444.0</v>
      </c>
      <c r="J32" s="33"/>
      <c r="K32" s="33" t="s">
        <v>245</v>
      </c>
      <c r="L32" s="33"/>
      <c r="M32" s="45" t="str">
        <f>IF(L32="Compliant",1,IF(L32="Partially Compliant",0.5,IF(L32="Non-Compliant",0,"")))</f>
        <v/>
      </c>
      <c r="N32" s="33"/>
      <c r="O32" s="33"/>
      <c r="P32" s="33"/>
      <c r="Q32" s="31"/>
    </row>
    <row r="33" spans="8:8" ht="23.85">
      <c r="A33" s="30" t="s">
        <v>2274</v>
      </c>
      <c r="B33" s="30" t="s">
        <v>213</v>
      </c>
      <c r="C33" s="30" t="s">
        <v>214</v>
      </c>
      <c r="D33" s="30" t="s">
        <v>215</v>
      </c>
      <c r="E33" s="30" t="s">
        <v>2275</v>
      </c>
      <c r="F33" s="30" t="s">
        <v>217</v>
      </c>
      <c r="G33" s="33" t="s">
        <v>207</v>
      </c>
      <c r="H33" s="44">
        <f>$K$5</f>
        <v>46433.0</v>
      </c>
      <c r="I33" s="44">
        <f>$K$6</f>
        <v>46444.0</v>
      </c>
      <c r="J33" s="33"/>
      <c r="K33" s="33" t="s">
        <v>245</v>
      </c>
      <c r="L33" s="33"/>
      <c r="M33" s="45" t="str">
        <f>IF(L33="Compliant",1,IF(L33="Partially Compliant",0.5,IF(L33="Non-Compliant",0,"")))</f>
        <v/>
      </c>
      <c r="N33" s="33"/>
      <c r="O33" s="33"/>
      <c r="P33" s="33"/>
      <c r="Q33" s="31"/>
    </row>
    <row r="34" spans="8:8" ht="23.85">
      <c r="A34" s="30" t="s">
        <v>2276</v>
      </c>
      <c r="B34" s="30" t="s">
        <v>218</v>
      </c>
      <c r="C34" s="30" t="s">
        <v>219</v>
      </c>
      <c r="D34" s="30" t="s">
        <v>220</v>
      </c>
      <c r="E34" s="30" t="s">
        <v>2277</v>
      </c>
      <c r="F34" s="30" t="s">
        <v>222</v>
      </c>
      <c r="G34" s="33" t="s">
        <v>30</v>
      </c>
      <c r="H34" s="44">
        <f>$K$5</f>
        <v>46433.0</v>
      </c>
      <c r="I34" s="44">
        <f>$K$6</f>
        <v>46444.0</v>
      </c>
      <c r="J34" s="33"/>
      <c r="K34" s="33" t="s">
        <v>245</v>
      </c>
      <c r="L34" s="33"/>
      <c r="M34" s="45" t="str">
        <f>IF(L34="Compliant",1,IF(L34="Partially Compliant",0.5,IF(L34="Non-Compliant",0,"")))</f>
        <v/>
      </c>
      <c r="N34" s="33"/>
      <c r="O34" s="33"/>
      <c r="P34" s="33"/>
      <c r="Q34" s="31"/>
    </row>
    <row r="35" spans="8:8" ht="35.05">
      <c r="A35" s="30" t="s">
        <v>2278</v>
      </c>
      <c r="B35" s="30" t="s">
        <v>223</v>
      </c>
      <c r="C35" s="30" t="s">
        <v>224</v>
      </c>
      <c r="D35" s="30" t="s">
        <v>225</v>
      </c>
      <c r="E35" s="30" t="s">
        <v>2279</v>
      </c>
      <c r="F35" s="30" t="s">
        <v>227</v>
      </c>
      <c r="G35" s="33" t="s">
        <v>207</v>
      </c>
      <c r="H35" s="44">
        <f>$K$5</f>
        <v>46433.0</v>
      </c>
      <c r="I35" s="44">
        <f>$K$6</f>
        <v>46444.0</v>
      </c>
      <c r="J35" s="33"/>
      <c r="K35" s="33" t="s">
        <v>245</v>
      </c>
      <c r="L35" s="33"/>
      <c r="M35" s="45" t="str">
        <f>IF(L35="Compliant",1,IF(L35="Partially Compliant",0.5,IF(L35="Non-Compliant",0,"")))</f>
        <v/>
      </c>
      <c r="N35" s="33"/>
      <c r="O35" s="33"/>
      <c r="P35" s="33"/>
      <c r="Q35" s="31"/>
    </row>
    <row r="36" spans="8:8" ht="23.85">
      <c r="A36" s="30" t="s">
        <v>2280</v>
      </c>
      <c r="B36" s="30" t="s">
        <v>228</v>
      </c>
      <c r="C36" s="30" t="s">
        <v>229</v>
      </c>
      <c r="D36" s="30" t="s">
        <v>230</v>
      </c>
      <c r="E36" s="30" t="s">
        <v>2281</v>
      </c>
      <c r="F36" s="30" t="s">
        <v>232</v>
      </c>
      <c r="G36" s="33" t="s">
        <v>30</v>
      </c>
      <c r="H36" s="44">
        <f>$K$5</f>
        <v>46433.0</v>
      </c>
      <c r="I36" s="44">
        <f>$K$6</f>
        <v>46444.0</v>
      </c>
      <c r="J36" s="33"/>
      <c r="K36" s="33" t="s">
        <v>245</v>
      </c>
      <c r="L36" s="33"/>
      <c r="M36" s="45" t="str">
        <f>IF(L36="Compliant",1,IF(L36="Partially Compliant",0.5,IF(L36="Non-Compliant",0,"")))</f>
        <v/>
      </c>
      <c r="N36" s="33"/>
      <c r="O36" s="33"/>
      <c r="P36" s="33"/>
      <c r="Q36" s="31"/>
    </row>
    <row r="37" spans="8:8" ht="35.05">
      <c r="A37" s="30" t="s">
        <v>2282</v>
      </c>
      <c r="B37" s="43" t="s">
        <v>2283</v>
      </c>
      <c r="C37" s="30" t="s">
        <v>504</v>
      </c>
      <c r="D37" s="30" t="s">
        <v>2284</v>
      </c>
      <c r="E37" s="30" t="s">
        <v>2285</v>
      </c>
      <c r="F37" s="30" t="s">
        <v>2286</v>
      </c>
      <c r="G37" s="33" t="s">
        <v>30</v>
      </c>
      <c r="H37" s="44">
        <f>$K$5</f>
        <v>46433.0</v>
      </c>
      <c r="I37" s="44">
        <f>$K$6</f>
        <v>46444.0</v>
      </c>
      <c r="J37" s="33"/>
      <c r="K37" s="33" t="s">
        <v>245</v>
      </c>
      <c r="L37" s="33"/>
      <c r="M37" s="45" t="str">
        <f>IF(L37="Compliant",1,IF(L37="Partially Compliant",0.5,IF(L37="Non-Compliant",0,"")))</f>
        <v/>
      </c>
      <c r="N37" s="33"/>
      <c r="O37" s="33"/>
      <c r="P37" s="33"/>
      <c r="Q37" s="31"/>
    </row>
    <row r="38" spans="8:8" ht="35.05">
      <c r="A38" s="30" t="s">
        <v>2287</v>
      </c>
      <c r="B38" s="43" t="s">
        <v>2288</v>
      </c>
      <c r="C38" s="30" t="s">
        <v>2289</v>
      </c>
      <c r="D38" s="30" t="s">
        <v>2290</v>
      </c>
      <c r="E38" s="30" t="s">
        <v>2291</v>
      </c>
      <c r="F38" s="30" t="s">
        <v>2292</v>
      </c>
      <c r="G38" s="33" t="s">
        <v>146</v>
      </c>
      <c r="H38" s="44">
        <f>$K$5</f>
        <v>46433.0</v>
      </c>
      <c r="I38" s="44">
        <f>$K$6</f>
        <v>46444.0</v>
      </c>
      <c r="J38" s="33"/>
      <c r="K38" s="33" t="s">
        <v>245</v>
      </c>
      <c r="L38" s="33"/>
      <c r="M38" s="45" t="str">
        <f>IF(L38="Compliant",1,IF(L38="Partially Compliant",0.5,IF(L38="Non-Compliant",0,"")))</f>
        <v/>
      </c>
      <c r="N38" s="33"/>
      <c r="O38" s="33"/>
      <c r="P38" s="33"/>
      <c r="Q38" s="31"/>
    </row>
    <row r="39" spans="8:8" ht="23.85">
      <c r="A39" s="30" t="s">
        <v>2293</v>
      </c>
      <c r="B39" s="43" t="s">
        <v>2294</v>
      </c>
      <c r="C39" s="30" t="s">
        <v>2295</v>
      </c>
      <c r="D39" s="30" t="s">
        <v>2296</v>
      </c>
      <c r="E39" s="30" t="s">
        <v>2297</v>
      </c>
      <c r="F39" s="30" t="s">
        <v>2298</v>
      </c>
      <c r="G39" s="33" t="s">
        <v>207</v>
      </c>
      <c r="H39" s="44">
        <f>$K$5</f>
        <v>46433.0</v>
      </c>
      <c r="I39" s="44">
        <f>$K$6</f>
        <v>46444.0</v>
      </c>
      <c r="J39" s="33"/>
      <c r="K39" s="33" t="s">
        <v>245</v>
      </c>
      <c r="L39" s="33"/>
      <c r="M39" s="45" t="str">
        <f>IF(L39="Compliant",1,IF(L39="Partially Compliant",0.5,IF(L39="Non-Compliant",0,"")))</f>
        <v/>
      </c>
      <c r="N39" s="33"/>
      <c r="O39" s="33"/>
      <c r="P39" s="33"/>
      <c r="Q39" s="31"/>
    </row>
    <row r="41" spans="8:8" ht="15.0">
      <c r="A41" s="27" t="s">
        <v>439</v>
      </c>
    </row>
  </sheetData>
  <autoFilter ref="A14:Q39">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9">
    <cfRule type="cellIs" operator="equal" priority="3" dxfId="135">
      <formula>"Partially Compliant"</formula>
    </cfRule>
    <cfRule type="cellIs" operator="equal" priority="4" dxfId="136">
      <formula>"Non-Compliant"</formula>
    </cfRule>
    <cfRule type="cellIs" operator="equal" priority="2" dxfId="137">
      <formula>"Compliant"</formula>
    </cfRule>
  </conditionalFormatting>
  <conditionalFormatting sqref="G15:G39">
    <cfRule type="cellIs" operator="equal" priority="5" dxfId="138">
      <formula>"High"</formula>
    </cfRule>
  </conditionalFormatting>
  <dataValidations count="4">
    <dataValidation allowBlank="1" type="list" errorStyle="stop" sqref="G15:G39">
      <formula1>"High,Medium,Low"</formula1>
      <formula2>0</formula2>
    </dataValidation>
    <dataValidation allowBlank="1" type="list" errorStyle="stop" sqref="K15:K39">
      <formula1>"Not Started,In Progress,Fieldwork Done,Reported,Completed"</formula1>
      <formula2>0</formula2>
    </dataValidation>
    <dataValidation allowBlank="1" type="list" errorStyle="stop" sqref="L15:L39">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39.xml><?xml version="1.0" encoding="utf-8"?>
<worksheet xmlns:r="http://schemas.openxmlformats.org/officeDocument/2006/relationships" xmlns="http://schemas.openxmlformats.org/spreadsheetml/2006/main">
  <sheetPr>
    <tabColor rgb="FFBF8F00"/>
    <pageSetUpPr fitToPage="1"/>
  </sheetPr>
  <dimension ref="A1:R39"/>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2299</v>
      </c>
      <c r="N1" s="34" t="s">
        <v>277</v>
      </c>
    </row>
    <row r="2" spans="8:8" ht="15.0">
      <c r="A2" s="12" t="s">
        <v>278</v>
      </c>
    </row>
    <row r="4" spans="8:8" ht="15.75" customHeight="1">
      <c r="A4" s="35" t="s">
        <v>59</v>
      </c>
      <c r="B4" s="35"/>
      <c r="C4" s="36" t="s">
        <v>109</v>
      </c>
      <c r="D4" s="36"/>
      <c r="E4" s="36"/>
      <c r="F4" s="36"/>
      <c r="H4" s="35" t="s">
        <v>279</v>
      </c>
      <c r="I4" s="35"/>
      <c r="J4" s="35"/>
      <c r="K4" s="37" t="s">
        <v>280</v>
      </c>
    </row>
    <row r="5" spans="8:8" ht="15.75" customHeight="1">
      <c r="A5" s="35" t="s">
        <v>281</v>
      </c>
      <c r="B5" s="35"/>
      <c r="C5" s="36" t="s">
        <v>55</v>
      </c>
      <c r="D5" s="36"/>
      <c r="E5" s="36"/>
      <c r="F5" s="36"/>
      <c r="H5" s="35" t="s">
        <v>63</v>
      </c>
      <c r="I5" s="35"/>
      <c r="J5" s="35"/>
      <c r="K5" s="38">
        <v>46433.0</v>
      </c>
    </row>
    <row r="6" spans="8:8" ht="15.75" customHeight="1">
      <c r="A6" s="35" t="s">
        <v>282</v>
      </c>
      <c r="B6" s="35"/>
      <c r="C6" s="36" t="s">
        <v>82</v>
      </c>
      <c r="D6" s="36"/>
      <c r="E6" s="36"/>
      <c r="F6" s="36"/>
      <c r="H6" s="35" t="s">
        <v>283</v>
      </c>
      <c r="I6" s="35"/>
      <c r="J6" s="35"/>
      <c r="K6" s="38">
        <v>46444.0</v>
      </c>
    </row>
    <row r="7" spans="8:8" ht="15.75" customHeight="1">
      <c r="A7" s="35" t="s">
        <v>61</v>
      </c>
      <c r="B7" s="35"/>
      <c r="C7" s="39" t="s">
        <v>280</v>
      </c>
      <c r="D7" s="39"/>
      <c r="E7" s="39"/>
      <c r="F7" s="39"/>
      <c r="H7" s="35" t="s">
        <v>284</v>
      </c>
      <c r="I7" s="35"/>
      <c r="J7" s="35"/>
      <c r="K7" s="40">
        <f>COUNTA(A15:A37)</f>
        <v>23.0</v>
      </c>
    </row>
    <row r="8" spans="8:8" ht="15.75" customHeight="1">
      <c r="A8" s="35" t="s">
        <v>285</v>
      </c>
      <c r="B8" s="35"/>
      <c r="C8" s="36" t="s">
        <v>2300</v>
      </c>
      <c r="D8" s="36"/>
      <c r="E8" s="36"/>
      <c r="F8" s="36"/>
      <c r="H8" s="35" t="s">
        <v>34</v>
      </c>
      <c r="I8" s="35"/>
      <c r="J8" s="35"/>
      <c r="K8" s="40">
        <f>COUNTIF(K15:K37,"Completed")</f>
        <v>0.0</v>
      </c>
    </row>
    <row r="9" spans="8:8" ht="15.75" customHeight="1">
      <c r="A9" s="35" t="s">
        <v>287</v>
      </c>
      <c r="B9" s="35"/>
      <c r="C9" s="36" t="s">
        <v>2301</v>
      </c>
      <c r="D9" s="36"/>
      <c r="E9" s="36"/>
      <c r="F9" s="36"/>
      <c r="H9" s="35" t="s">
        <v>64</v>
      </c>
      <c r="I9" s="35"/>
      <c r="J9" s="35"/>
      <c r="K9" s="40">
        <f>COUNTIF(L15:L37,"Compliant")</f>
        <v>0.0</v>
      </c>
    </row>
    <row r="10" spans="8:8" ht="15.75" customHeight="1">
      <c r="A10" s="35" t="s">
        <v>289</v>
      </c>
      <c r="B10" s="35"/>
      <c r="C10" s="36" t="s">
        <v>2302</v>
      </c>
      <c r="D10" s="36"/>
      <c r="E10" s="36"/>
      <c r="F10" s="36"/>
      <c r="H10" s="35" t="s">
        <v>36</v>
      </c>
      <c r="I10" s="35"/>
      <c r="J10" s="35"/>
      <c r="K10" s="40">
        <f>COUNTIF(L15:L37,"Partially Compliant")</f>
        <v>0.0</v>
      </c>
    </row>
    <row r="11" spans="8:8" ht="15.75" customHeight="1">
      <c r="A11" s="35" t="s">
        <v>291</v>
      </c>
      <c r="B11" s="35"/>
      <c r="C11" s="39" t="s">
        <v>146</v>
      </c>
      <c r="D11" s="39"/>
      <c r="E11" s="39"/>
      <c r="F11" s="39"/>
      <c r="H11" s="35" t="s">
        <v>49</v>
      </c>
      <c r="I11" s="35"/>
      <c r="J11" s="35"/>
      <c r="K11" s="40">
        <f>COUNTIF(L15:L37,"Non-Compliant")</f>
        <v>0.0</v>
      </c>
    </row>
    <row r="12" spans="8:8" ht="15.0">
      <c r="H12" s="35" t="s">
        <v>292</v>
      </c>
      <c r="I12" s="35"/>
      <c r="J12" s="35"/>
      <c r="K12" s="40">
        <f>COUNTIF(L15:L37,"Not Applicable")</f>
        <v>0.0</v>
      </c>
    </row>
    <row r="13" spans="8:8" ht="15.0">
      <c r="H13" s="35" t="s">
        <v>293</v>
      </c>
      <c r="I13" s="35"/>
      <c r="J13" s="35"/>
      <c r="K13" s="41" t="str">
        <f>_xlfn.IFERROR(AVERAGE(M15:M37),"")</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46.25">
      <c r="A15" s="30" t="s">
        <v>2303</v>
      </c>
      <c r="B15" s="30" t="s">
        <v>122</v>
      </c>
      <c r="C15" s="30" t="s">
        <v>123</v>
      </c>
      <c r="D15" s="30" t="s">
        <v>124</v>
      </c>
      <c r="E15" s="30" t="s">
        <v>2304</v>
      </c>
      <c r="F15" s="30" t="s">
        <v>126</v>
      </c>
      <c r="G15" s="33" t="s">
        <v>30</v>
      </c>
      <c r="H15" s="44">
        <f>$K$5</f>
        <v>46433.0</v>
      </c>
      <c r="I15" s="44">
        <f>$K$6</f>
        <v>46444.0</v>
      </c>
      <c r="J15" s="33"/>
      <c r="K15" s="33" t="s">
        <v>245</v>
      </c>
      <c r="L15" s="33"/>
      <c r="M15" s="45" t="str">
        <f>IF(L15="Compliant",1,IF(L15="Partially Compliant",0.5,IF(L15="Non-Compliant",0,"")))</f>
        <v/>
      </c>
      <c r="N15" s="33"/>
      <c r="O15" s="33"/>
      <c r="P15" s="33"/>
      <c r="Q15" s="31"/>
    </row>
    <row r="16" spans="8:8" ht="35.05">
      <c r="A16" s="30" t="s">
        <v>2305</v>
      </c>
      <c r="B16" s="30" t="s">
        <v>127</v>
      </c>
      <c r="C16" s="30" t="s">
        <v>128</v>
      </c>
      <c r="D16" s="30" t="s">
        <v>129</v>
      </c>
      <c r="E16" s="30" t="s">
        <v>2306</v>
      </c>
      <c r="F16" s="30" t="s">
        <v>131</v>
      </c>
      <c r="G16" s="33" t="s">
        <v>30</v>
      </c>
      <c r="H16" s="44">
        <f>$K$5</f>
        <v>46433.0</v>
      </c>
      <c r="I16" s="44">
        <f>$K$6</f>
        <v>46444.0</v>
      </c>
      <c r="J16" s="33"/>
      <c r="K16" s="33" t="s">
        <v>245</v>
      </c>
      <c r="L16" s="33"/>
      <c r="M16" s="45" t="str">
        <f>IF(L16="Compliant",1,IF(L16="Partially Compliant",0.5,IF(L16="Non-Compliant",0,"")))</f>
        <v/>
      </c>
      <c r="N16" s="33"/>
      <c r="O16" s="33"/>
      <c r="P16" s="33"/>
      <c r="Q16" s="31"/>
    </row>
    <row r="17" spans="8:8" ht="35.05">
      <c r="A17" s="30" t="s">
        <v>2307</v>
      </c>
      <c r="B17" s="30" t="s">
        <v>132</v>
      </c>
      <c r="C17" s="30" t="s">
        <v>133</v>
      </c>
      <c r="D17" s="30" t="s">
        <v>134</v>
      </c>
      <c r="E17" s="30" t="s">
        <v>135</v>
      </c>
      <c r="F17" s="30" t="s">
        <v>136</v>
      </c>
      <c r="G17" s="33" t="s">
        <v>30</v>
      </c>
      <c r="H17" s="44">
        <f>$K$5</f>
        <v>46433.0</v>
      </c>
      <c r="I17" s="44">
        <f>$K$6</f>
        <v>46444.0</v>
      </c>
      <c r="J17" s="33"/>
      <c r="K17" s="33" t="s">
        <v>245</v>
      </c>
      <c r="L17" s="33"/>
      <c r="M17" s="45" t="str">
        <f>IF(L17="Compliant",1,IF(L17="Partially Compliant",0.5,IF(L17="Non-Compliant",0,"")))</f>
        <v/>
      </c>
      <c r="N17" s="33"/>
      <c r="O17" s="33"/>
      <c r="P17" s="33"/>
      <c r="Q17" s="31"/>
    </row>
    <row r="18" spans="8:8" ht="57.45">
      <c r="A18" s="30" t="s">
        <v>2308</v>
      </c>
      <c r="B18" s="30" t="s">
        <v>28</v>
      </c>
      <c r="C18" s="30" t="s">
        <v>137</v>
      </c>
      <c r="D18" s="30" t="s">
        <v>138</v>
      </c>
      <c r="E18" s="30" t="s">
        <v>2309</v>
      </c>
      <c r="F18" s="30" t="s">
        <v>140</v>
      </c>
      <c r="G18" s="33" t="s">
        <v>30</v>
      </c>
      <c r="H18" s="44">
        <f>$K$5</f>
        <v>46433.0</v>
      </c>
      <c r="I18" s="44">
        <f>$K$6</f>
        <v>46444.0</v>
      </c>
      <c r="J18" s="33"/>
      <c r="K18" s="33" t="s">
        <v>245</v>
      </c>
      <c r="L18" s="33"/>
      <c r="M18" s="45" t="str">
        <f>IF(L18="Compliant",1,IF(L18="Partially Compliant",0.5,IF(L18="Non-Compliant",0,"")))</f>
        <v/>
      </c>
      <c r="N18" s="33"/>
      <c r="O18" s="33"/>
      <c r="P18" s="33"/>
      <c r="Q18" s="31"/>
    </row>
    <row r="19" spans="8:8" ht="35.05">
      <c r="A19" s="30" t="s">
        <v>2310</v>
      </c>
      <c r="B19" s="30" t="s">
        <v>141</v>
      </c>
      <c r="C19" s="30" t="s">
        <v>142</v>
      </c>
      <c r="D19" s="30" t="s">
        <v>143</v>
      </c>
      <c r="E19" s="30" t="s">
        <v>2311</v>
      </c>
      <c r="F19" s="30" t="s">
        <v>145</v>
      </c>
      <c r="G19" s="33" t="s">
        <v>146</v>
      </c>
      <c r="H19" s="44">
        <f>$K$5</f>
        <v>46433.0</v>
      </c>
      <c r="I19" s="44">
        <f>$K$6</f>
        <v>46444.0</v>
      </c>
      <c r="J19" s="33"/>
      <c r="K19" s="33" t="s">
        <v>245</v>
      </c>
      <c r="L19" s="33"/>
      <c r="M19" s="45" t="str">
        <f>IF(L19="Compliant",1,IF(L19="Partially Compliant",0.5,IF(L19="Non-Compliant",0,"")))</f>
        <v/>
      </c>
      <c r="N19" s="33"/>
      <c r="O19" s="33"/>
      <c r="P19" s="33"/>
      <c r="Q19" s="31"/>
    </row>
    <row r="20" spans="8:8" ht="46.25">
      <c r="A20" s="30" t="s">
        <v>2312</v>
      </c>
      <c r="B20" s="30" t="s">
        <v>147</v>
      </c>
      <c r="C20" s="30" t="s">
        <v>148</v>
      </c>
      <c r="D20" s="30" t="s">
        <v>149</v>
      </c>
      <c r="E20" s="30" t="s">
        <v>2313</v>
      </c>
      <c r="F20" s="30" t="s">
        <v>151</v>
      </c>
      <c r="G20" s="33" t="s">
        <v>146</v>
      </c>
      <c r="H20" s="44">
        <f>$K$5</f>
        <v>46433.0</v>
      </c>
      <c r="I20" s="44">
        <f>$K$6</f>
        <v>46444.0</v>
      </c>
      <c r="J20" s="33"/>
      <c r="K20" s="33" t="s">
        <v>245</v>
      </c>
      <c r="L20" s="33"/>
      <c r="M20" s="45" t="str">
        <f>IF(L20="Compliant",1,IF(L20="Partially Compliant",0.5,IF(L20="Non-Compliant",0,"")))</f>
        <v/>
      </c>
      <c r="N20" s="33"/>
      <c r="O20" s="33"/>
      <c r="P20" s="33"/>
      <c r="Q20" s="31"/>
    </row>
    <row r="21" spans="8:8" ht="35.05">
      <c r="A21" s="30" t="s">
        <v>2314</v>
      </c>
      <c r="B21" s="30" t="s">
        <v>152</v>
      </c>
      <c r="C21" s="30" t="s">
        <v>153</v>
      </c>
      <c r="D21" s="30" t="s">
        <v>154</v>
      </c>
      <c r="E21" s="30" t="s">
        <v>155</v>
      </c>
      <c r="F21" s="30" t="s">
        <v>156</v>
      </c>
      <c r="G21" s="33" t="s">
        <v>146</v>
      </c>
      <c r="H21" s="44">
        <f>$K$5</f>
        <v>46433.0</v>
      </c>
      <c r="I21" s="44">
        <f>$K$6</f>
        <v>46444.0</v>
      </c>
      <c r="J21" s="33"/>
      <c r="K21" s="33" t="s">
        <v>245</v>
      </c>
      <c r="L21" s="33"/>
      <c r="M21" s="45" t="str">
        <f>IF(L21="Compliant",1,IF(L21="Partially Compliant",0.5,IF(L21="Non-Compliant",0,"")))</f>
        <v/>
      </c>
      <c r="N21" s="33"/>
      <c r="O21" s="33"/>
      <c r="P21" s="33"/>
      <c r="Q21" s="31"/>
    </row>
    <row r="22" spans="8:8" ht="35.05">
      <c r="A22" s="30" t="s">
        <v>2315</v>
      </c>
      <c r="B22" s="30" t="s">
        <v>157</v>
      </c>
      <c r="C22" s="30" t="s">
        <v>158</v>
      </c>
      <c r="D22" s="30" t="s">
        <v>159</v>
      </c>
      <c r="E22" s="30" t="s">
        <v>160</v>
      </c>
      <c r="F22" s="30" t="s">
        <v>161</v>
      </c>
      <c r="G22" s="33" t="s">
        <v>146</v>
      </c>
      <c r="H22" s="44">
        <f>$K$5</f>
        <v>46433.0</v>
      </c>
      <c r="I22" s="44">
        <f>$K$6</f>
        <v>46444.0</v>
      </c>
      <c r="J22" s="33"/>
      <c r="K22" s="33" t="s">
        <v>245</v>
      </c>
      <c r="L22" s="33"/>
      <c r="M22" s="45" t="str">
        <f>IF(L22="Compliant",1,IF(L22="Partially Compliant",0.5,IF(L22="Non-Compliant",0,"")))</f>
        <v/>
      </c>
      <c r="N22" s="33"/>
      <c r="O22" s="33"/>
      <c r="P22" s="33"/>
      <c r="Q22" s="31"/>
    </row>
    <row r="23" spans="8:8" ht="35.05">
      <c r="A23" s="30" t="s">
        <v>2316</v>
      </c>
      <c r="B23" s="30" t="s">
        <v>162</v>
      </c>
      <c r="C23" s="30" t="s">
        <v>163</v>
      </c>
      <c r="D23" s="30" t="s">
        <v>164</v>
      </c>
      <c r="E23" s="30" t="s">
        <v>2317</v>
      </c>
      <c r="F23" s="30" t="s">
        <v>166</v>
      </c>
      <c r="G23" s="33" t="s">
        <v>146</v>
      </c>
      <c r="H23" s="44">
        <f>$K$5</f>
        <v>46433.0</v>
      </c>
      <c r="I23" s="44">
        <f>$K$6</f>
        <v>46444.0</v>
      </c>
      <c r="J23" s="33"/>
      <c r="K23" s="33" t="s">
        <v>245</v>
      </c>
      <c r="L23" s="33"/>
      <c r="M23" s="45" t="str">
        <f>IF(L23="Compliant",1,IF(L23="Partially Compliant",0.5,IF(L23="Non-Compliant",0,"")))</f>
        <v/>
      </c>
      <c r="N23" s="33"/>
      <c r="O23" s="33"/>
      <c r="P23" s="33"/>
      <c r="Q23" s="31"/>
    </row>
    <row r="24" spans="8:8" ht="35.05">
      <c r="A24" s="30" t="s">
        <v>2318</v>
      </c>
      <c r="B24" s="30" t="s">
        <v>167</v>
      </c>
      <c r="C24" s="30" t="s">
        <v>168</v>
      </c>
      <c r="D24" s="30" t="s">
        <v>169</v>
      </c>
      <c r="E24" s="30" t="s">
        <v>2319</v>
      </c>
      <c r="F24" s="30" t="s">
        <v>171</v>
      </c>
      <c r="G24" s="33" t="s">
        <v>30</v>
      </c>
      <c r="H24" s="44">
        <f>$K$5</f>
        <v>46433.0</v>
      </c>
      <c r="I24" s="44">
        <f>$K$6</f>
        <v>46444.0</v>
      </c>
      <c r="J24" s="33"/>
      <c r="K24" s="33" t="s">
        <v>245</v>
      </c>
      <c r="L24" s="33"/>
      <c r="M24" s="45" t="str">
        <f>IF(L24="Compliant",1,IF(L24="Partially Compliant",0.5,IF(L24="Non-Compliant",0,"")))</f>
        <v/>
      </c>
      <c r="N24" s="33"/>
      <c r="O24" s="33"/>
      <c r="P24" s="33"/>
      <c r="Q24" s="31"/>
    </row>
    <row r="25" spans="8:8" ht="35.05">
      <c r="A25" s="30" t="s">
        <v>2320</v>
      </c>
      <c r="B25" s="30" t="s">
        <v>172</v>
      </c>
      <c r="C25" s="30" t="s">
        <v>173</v>
      </c>
      <c r="D25" s="30" t="s">
        <v>174</v>
      </c>
      <c r="E25" s="30" t="s">
        <v>175</v>
      </c>
      <c r="F25" s="30" t="s">
        <v>176</v>
      </c>
      <c r="G25" s="33" t="s">
        <v>30</v>
      </c>
      <c r="H25" s="44">
        <f>$K$5</f>
        <v>46433.0</v>
      </c>
      <c r="I25" s="44">
        <f>$K$6</f>
        <v>46444.0</v>
      </c>
      <c r="J25" s="33"/>
      <c r="K25" s="33" t="s">
        <v>245</v>
      </c>
      <c r="L25" s="33"/>
      <c r="M25" s="45" t="str">
        <f>IF(L25="Compliant",1,IF(L25="Partially Compliant",0.5,IF(L25="Non-Compliant",0,"")))</f>
        <v/>
      </c>
      <c r="N25" s="33"/>
      <c r="O25" s="33"/>
      <c r="P25" s="33"/>
      <c r="Q25" s="31"/>
    </row>
    <row r="26" spans="8:8" ht="35.05">
      <c r="A26" s="30" t="s">
        <v>2321</v>
      </c>
      <c r="B26" s="30" t="s">
        <v>177</v>
      </c>
      <c r="C26" s="30" t="s">
        <v>178</v>
      </c>
      <c r="D26" s="30" t="s">
        <v>2322</v>
      </c>
      <c r="E26" s="30" t="s">
        <v>2323</v>
      </c>
      <c r="F26" s="30" t="s">
        <v>181</v>
      </c>
      <c r="G26" s="33" t="s">
        <v>30</v>
      </c>
      <c r="H26" s="44">
        <f>$K$5</f>
        <v>46433.0</v>
      </c>
      <c r="I26" s="44">
        <f>$K$6</f>
        <v>46444.0</v>
      </c>
      <c r="J26" s="33"/>
      <c r="K26" s="33" t="s">
        <v>245</v>
      </c>
      <c r="L26" s="33"/>
      <c r="M26" s="45" t="str">
        <f>IF(L26="Compliant",1,IF(L26="Partially Compliant",0.5,IF(L26="Non-Compliant",0,"")))</f>
        <v/>
      </c>
      <c r="N26" s="33"/>
      <c r="O26" s="33"/>
      <c r="P26" s="33"/>
      <c r="Q26" s="31"/>
    </row>
    <row r="27" spans="8:8" ht="35.05">
      <c r="A27" s="30" t="s">
        <v>2324</v>
      </c>
      <c r="B27" s="30" t="s">
        <v>182</v>
      </c>
      <c r="C27" s="30" t="s">
        <v>183</v>
      </c>
      <c r="D27" s="30" t="s">
        <v>184</v>
      </c>
      <c r="E27" s="30" t="s">
        <v>2325</v>
      </c>
      <c r="F27" s="30" t="s">
        <v>186</v>
      </c>
      <c r="G27" s="33" t="s">
        <v>30</v>
      </c>
      <c r="H27" s="44">
        <f>$K$5</f>
        <v>46433.0</v>
      </c>
      <c r="I27" s="44">
        <f>$K$6</f>
        <v>46444.0</v>
      </c>
      <c r="J27" s="33"/>
      <c r="K27" s="33" t="s">
        <v>245</v>
      </c>
      <c r="L27" s="33"/>
      <c r="M27" s="45" t="str">
        <f>IF(L27="Compliant",1,IF(L27="Partially Compliant",0.5,IF(L27="Non-Compliant",0,"")))</f>
        <v/>
      </c>
      <c r="N27" s="33"/>
      <c r="O27" s="33"/>
      <c r="P27" s="33"/>
      <c r="Q27" s="31"/>
    </row>
    <row r="28" spans="8:8" ht="35.05">
      <c r="A28" s="30" t="s">
        <v>2326</v>
      </c>
      <c r="B28" s="30" t="s">
        <v>187</v>
      </c>
      <c r="C28" s="30" t="s">
        <v>188</v>
      </c>
      <c r="D28" s="30" t="s">
        <v>189</v>
      </c>
      <c r="E28" s="30" t="s">
        <v>2327</v>
      </c>
      <c r="F28" s="30" t="s">
        <v>191</v>
      </c>
      <c r="G28" s="33" t="s">
        <v>146</v>
      </c>
      <c r="H28" s="44">
        <f>$K$5</f>
        <v>46433.0</v>
      </c>
      <c r="I28" s="44">
        <f>$K$6</f>
        <v>46444.0</v>
      </c>
      <c r="J28" s="33"/>
      <c r="K28" s="33" t="s">
        <v>245</v>
      </c>
      <c r="L28" s="33"/>
      <c r="M28" s="45" t="str">
        <f>IF(L28="Compliant",1,IF(L28="Partially Compliant",0.5,IF(L28="Non-Compliant",0,"")))</f>
        <v/>
      </c>
      <c r="N28" s="33"/>
      <c r="O28" s="33"/>
      <c r="P28" s="33"/>
      <c r="Q28" s="31"/>
    </row>
    <row r="29" spans="8:8" ht="35.05">
      <c r="A29" s="30" t="s">
        <v>2328</v>
      </c>
      <c r="B29" s="30" t="s">
        <v>192</v>
      </c>
      <c r="C29" s="30" t="s">
        <v>193</v>
      </c>
      <c r="D29" s="30" t="s">
        <v>194</v>
      </c>
      <c r="E29" s="30" t="s">
        <v>2329</v>
      </c>
      <c r="F29" s="30" t="s">
        <v>196</v>
      </c>
      <c r="G29" s="33" t="s">
        <v>30</v>
      </c>
      <c r="H29" s="44">
        <f>$K$5</f>
        <v>46433.0</v>
      </c>
      <c r="I29" s="44">
        <f>$K$6</f>
        <v>46444.0</v>
      </c>
      <c r="J29" s="33"/>
      <c r="K29" s="33" t="s">
        <v>245</v>
      </c>
      <c r="L29" s="33"/>
      <c r="M29" s="45" t="str">
        <f>IF(L29="Compliant",1,IF(L29="Partially Compliant",0.5,IF(L29="Non-Compliant",0,"")))</f>
        <v/>
      </c>
      <c r="N29" s="33"/>
      <c r="O29" s="33"/>
      <c r="P29" s="33"/>
      <c r="Q29" s="31"/>
    </row>
    <row r="30" spans="8:8" ht="35.05">
      <c r="A30" s="30" t="s">
        <v>2330</v>
      </c>
      <c r="B30" s="30" t="s">
        <v>197</v>
      </c>
      <c r="C30" s="30" t="s">
        <v>198</v>
      </c>
      <c r="D30" s="30" t="s">
        <v>199</v>
      </c>
      <c r="E30" s="30" t="s">
        <v>2331</v>
      </c>
      <c r="F30" s="30" t="s">
        <v>201</v>
      </c>
      <c r="G30" s="33" t="s">
        <v>146</v>
      </c>
      <c r="H30" s="44">
        <f>$K$5</f>
        <v>46433.0</v>
      </c>
      <c r="I30" s="44">
        <f>$K$6</f>
        <v>46444.0</v>
      </c>
      <c r="J30" s="33"/>
      <c r="K30" s="33" t="s">
        <v>245</v>
      </c>
      <c r="L30" s="33"/>
      <c r="M30" s="45" t="str">
        <f>IF(L30="Compliant",1,IF(L30="Partially Compliant",0.5,IF(L30="Non-Compliant",0,"")))</f>
        <v/>
      </c>
      <c r="N30" s="33"/>
      <c r="O30" s="33"/>
      <c r="P30" s="33"/>
      <c r="Q30" s="31"/>
    </row>
    <row r="31" spans="8:8" ht="35.05">
      <c r="A31" s="30" t="s">
        <v>2332</v>
      </c>
      <c r="B31" s="30" t="s">
        <v>202</v>
      </c>
      <c r="C31" s="30" t="s">
        <v>203</v>
      </c>
      <c r="D31" s="30" t="s">
        <v>204</v>
      </c>
      <c r="E31" s="30" t="s">
        <v>205</v>
      </c>
      <c r="F31" s="30" t="s">
        <v>206</v>
      </c>
      <c r="G31" s="33" t="s">
        <v>207</v>
      </c>
      <c r="H31" s="44">
        <f>$K$5</f>
        <v>46433.0</v>
      </c>
      <c r="I31" s="44">
        <f>$K$6</f>
        <v>46444.0</v>
      </c>
      <c r="J31" s="33"/>
      <c r="K31" s="33" t="s">
        <v>245</v>
      </c>
      <c r="L31" s="33"/>
      <c r="M31" s="45" t="str">
        <f>IF(L31="Compliant",1,IF(L31="Partially Compliant",0.5,IF(L31="Non-Compliant",0,"")))</f>
        <v/>
      </c>
      <c r="N31" s="33"/>
      <c r="O31" s="33"/>
      <c r="P31" s="33"/>
      <c r="Q31" s="31"/>
    </row>
    <row r="32" spans="8:8" ht="23.85">
      <c r="A32" s="30" t="s">
        <v>2333</v>
      </c>
      <c r="B32" s="30" t="s">
        <v>208</v>
      </c>
      <c r="C32" s="30" t="s">
        <v>209</v>
      </c>
      <c r="D32" s="30" t="s">
        <v>210</v>
      </c>
      <c r="E32" s="30" t="s">
        <v>2334</v>
      </c>
      <c r="F32" s="30" t="s">
        <v>212</v>
      </c>
      <c r="G32" s="33" t="s">
        <v>207</v>
      </c>
      <c r="H32" s="44">
        <f>$K$5</f>
        <v>46433.0</v>
      </c>
      <c r="I32" s="44">
        <f>$K$6</f>
        <v>46444.0</v>
      </c>
      <c r="J32" s="33"/>
      <c r="K32" s="33" t="s">
        <v>245</v>
      </c>
      <c r="L32" s="33"/>
      <c r="M32" s="45" t="str">
        <f>IF(L32="Compliant",1,IF(L32="Partially Compliant",0.5,IF(L32="Non-Compliant",0,"")))</f>
        <v/>
      </c>
      <c r="N32" s="33"/>
      <c r="O32" s="33"/>
      <c r="P32" s="33"/>
      <c r="Q32" s="31"/>
    </row>
    <row r="33" spans="8:8" ht="23.85">
      <c r="A33" s="30" t="s">
        <v>2335</v>
      </c>
      <c r="B33" s="30" t="s">
        <v>213</v>
      </c>
      <c r="C33" s="30" t="s">
        <v>214</v>
      </c>
      <c r="D33" s="30" t="s">
        <v>215</v>
      </c>
      <c r="E33" s="30" t="s">
        <v>2336</v>
      </c>
      <c r="F33" s="30" t="s">
        <v>217</v>
      </c>
      <c r="G33" s="33" t="s">
        <v>207</v>
      </c>
      <c r="H33" s="44">
        <f>$K$5</f>
        <v>46433.0</v>
      </c>
      <c r="I33" s="44">
        <f>$K$6</f>
        <v>46444.0</v>
      </c>
      <c r="J33" s="33"/>
      <c r="K33" s="33" t="s">
        <v>245</v>
      </c>
      <c r="L33" s="33"/>
      <c r="M33" s="45" t="str">
        <f>IF(L33="Compliant",1,IF(L33="Partially Compliant",0.5,IF(L33="Non-Compliant",0,"")))</f>
        <v/>
      </c>
      <c r="N33" s="33"/>
      <c r="O33" s="33"/>
      <c r="P33" s="33"/>
      <c r="Q33" s="31"/>
    </row>
    <row r="34" spans="8:8" ht="23.85">
      <c r="A34" s="30" t="s">
        <v>2337</v>
      </c>
      <c r="B34" s="30" t="s">
        <v>218</v>
      </c>
      <c r="C34" s="30" t="s">
        <v>219</v>
      </c>
      <c r="D34" s="30" t="s">
        <v>220</v>
      </c>
      <c r="E34" s="30" t="s">
        <v>2338</v>
      </c>
      <c r="F34" s="30" t="s">
        <v>222</v>
      </c>
      <c r="G34" s="33" t="s">
        <v>146</v>
      </c>
      <c r="H34" s="44">
        <f>$K$5</f>
        <v>46433.0</v>
      </c>
      <c r="I34" s="44">
        <f>$K$6</f>
        <v>46444.0</v>
      </c>
      <c r="J34" s="33"/>
      <c r="K34" s="33" t="s">
        <v>245</v>
      </c>
      <c r="L34" s="33"/>
      <c r="M34" s="45" t="str">
        <f>IF(L34="Compliant",1,IF(L34="Partially Compliant",0.5,IF(L34="Non-Compliant",0,"")))</f>
        <v/>
      </c>
      <c r="N34" s="33"/>
      <c r="O34" s="33"/>
      <c r="P34" s="33"/>
      <c r="Q34" s="31"/>
    </row>
    <row r="35" spans="8:8" ht="35.05">
      <c r="A35" s="30" t="s">
        <v>2339</v>
      </c>
      <c r="B35" s="30" t="s">
        <v>223</v>
      </c>
      <c r="C35" s="30" t="s">
        <v>224</v>
      </c>
      <c r="D35" s="30" t="s">
        <v>225</v>
      </c>
      <c r="E35" s="30" t="s">
        <v>2340</v>
      </c>
      <c r="F35" s="30" t="s">
        <v>227</v>
      </c>
      <c r="G35" s="33" t="s">
        <v>207</v>
      </c>
      <c r="H35" s="44">
        <f>$K$5</f>
        <v>46433.0</v>
      </c>
      <c r="I35" s="44">
        <f>$K$6</f>
        <v>46444.0</v>
      </c>
      <c r="J35" s="33"/>
      <c r="K35" s="33" t="s">
        <v>245</v>
      </c>
      <c r="L35" s="33"/>
      <c r="M35" s="45" t="str">
        <f>IF(L35="Compliant",1,IF(L35="Partially Compliant",0.5,IF(L35="Non-Compliant",0,"")))</f>
        <v/>
      </c>
      <c r="N35" s="33"/>
      <c r="O35" s="33"/>
      <c r="P35" s="33"/>
      <c r="Q35" s="31"/>
    </row>
    <row r="36" spans="8:8" ht="23.85">
      <c r="A36" s="30" t="s">
        <v>2341</v>
      </c>
      <c r="B36" s="30" t="s">
        <v>228</v>
      </c>
      <c r="C36" s="30" t="s">
        <v>229</v>
      </c>
      <c r="D36" s="30" t="s">
        <v>230</v>
      </c>
      <c r="E36" s="30" t="s">
        <v>2342</v>
      </c>
      <c r="F36" s="30" t="s">
        <v>232</v>
      </c>
      <c r="G36" s="33" t="s">
        <v>146</v>
      </c>
      <c r="H36" s="44">
        <f>$K$5</f>
        <v>46433.0</v>
      </c>
      <c r="I36" s="44">
        <f>$K$6</f>
        <v>46444.0</v>
      </c>
      <c r="J36" s="33"/>
      <c r="K36" s="33" t="s">
        <v>245</v>
      </c>
      <c r="L36" s="33"/>
      <c r="M36" s="45" t="str">
        <f>IF(L36="Compliant",1,IF(L36="Partially Compliant",0.5,IF(L36="Non-Compliant",0,"")))</f>
        <v/>
      </c>
      <c r="N36" s="33"/>
      <c r="O36" s="33"/>
      <c r="P36" s="33"/>
      <c r="Q36" s="31"/>
    </row>
    <row r="37" spans="8:8" ht="35.05">
      <c r="A37" s="30" t="s">
        <v>2343</v>
      </c>
      <c r="B37" s="43" t="s">
        <v>2344</v>
      </c>
      <c r="C37" s="30" t="s">
        <v>2345</v>
      </c>
      <c r="D37" s="30" t="s">
        <v>2346</v>
      </c>
      <c r="E37" s="30" t="s">
        <v>2347</v>
      </c>
      <c r="F37" s="30" t="s">
        <v>2348</v>
      </c>
      <c r="G37" s="33" t="s">
        <v>146</v>
      </c>
      <c r="H37" s="44">
        <f>$K$5</f>
        <v>46433.0</v>
      </c>
      <c r="I37" s="44">
        <f>$K$6</f>
        <v>46444.0</v>
      </c>
      <c r="J37" s="33"/>
      <c r="K37" s="33" t="s">
        <v>245</v>
      </c>
      <c r="L37" s="33"/>
      <c r="M37" s="45" t="str">
        <f>IF(L37="Compliant",1,IF(L37="Partially Compliant",0.5,IF(L37="Non-Compliant",0,"")))</f>
        <v/>
      </c>
      <c r="N37" s="33"/>
      <c r="O37" s="33"/>
      <c r="P37" s="33"/>
      <c r="Q37" s="31"/>
    </row>
    <row r="39" spans="8:8" ht="15.0">
      <c r="A39" s="27" t="s">
        <v>439</v>
      </c>
    </row>
  </sheetData>
  <autoFilter ref="A14:Q37">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7">
    <cfRule type="cellIs" operator="equal" priority="3" dxfId="139">
      <formula>"Partially Compliant"</formula>
    </cfRule>
    <cfRule type="cellIs" operator="equal" priority="4" dxfId="140">
      <formula>"Non-Compliant"</formula>
    </cfRule>
    <cfRule type="cellIs" operator="equal" priority="2" dxfId="141">
      <formula>"Compliant"</formula>
    </cfRule>
  </conditionalFormatting>
  <conditionalFormatting sqref="G15:G37">
    <cfRule type="cellIs" operator="equal" priority="5" dxfId="142">
      <formula>"High"</formula>
    </cfRule>
  </conditionalFormatting>
  <dataValidations count="4">
    <dataValidation allowBlank="1" type="list" errorStyle="stop" sqref="G15:G37">
      <formula1>"High,Medium,Low"</formula1>
      <formula2>0</formula2>
    </dataValidation>
    <dataValidation allowBlank="1" type="list" errorStyle="stop" sqref="K15:K37">
      <formula1>"Not Started,In Progress,Fieldwork Done,Reported,Completed"</formula1>
      <formula2>0</formula2>
    </dataValidation>
    <dataValidation allowBlank="1" type="list" errorStyle="stop" sqref="L15:L37">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40.xml><?xml version="1.0" encoding="utf-8"?>
<worksheet xmlns:r="http://schemas.openxmlformats.org/officeDocument/2006/relationships" xmlns="http://schemas.openxmlformats.org/spreadsheetml/2006/main">
  <sheetPr>
    <tabColor rgb="FFBF8F00"/>
    <pageSetUpPr fitToPage="1"/>
  </sheetPr>
  <dimension ref="A1:R41"/>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2349</v>
      </c>
      <c r="N1" s="34" t="s">
        <v>277</v>
      </c>
    </row>
    <row r="2" spans="8:8" ht="15.0">
      <c r="A2" s="12" t="s">
        <v>278</v>
      </c>
    </row>
    <row r="4" spans="8:8" ht="15.75" customHeight="1">
      <c r="A4" s="35" t="s">
        <v>59</v>
      </c>
      <c r="B4" s="35"/>
      <c r="C4" s="36" t="s">
        <v>110</v>
      </c>
      <c r="D4" s="36"/>
      <c r="E4" s="36"/>
      <c r="F4" s="36"/>
      <c r="H4" s="35" t="s">
        <v>279</v>
      </c>
      <c r="I4" s="35"/>
      <c r="J4" s="35"/>
      <c r="K4" s="37" t="s">
        <v>280</v>
      </c>
    </row>
    <row r="5" spans="8:8" ht="15.75" customHeight="1">
      <c r="A5" s="35" t="s">
        <v>281</v>
      </c>
      <c r="B5" s="35"/>
      <c r="C5" s="36" t="s">
        <v>55</v>
      </c>
      <c r="D5" s="36"/>
      <c r="E5" s="36"/>
      <c r="F5" s="36"/>
      <c r="H5" s="35" t="s">
        <v>63</v>
      </c>
      <c r="I5" s="35"/>
      <c r="J5" s="35"/>
      <c r="K5" s="38">
        <v>46433.0</v>
      </c>
    </row>
    <row r="6" spans="8:8" ht="15.75" customHeight="1">
      <c r="A6" s="35" t="s">
        <v>282</v>
      </c>
      <c r="B6" s="35"/>
      <c r="C6" s="36" t="s">
        <v>82</v>
      </c>
      <c r="D6" s="36"/>
      <c r="E6" s="36"/>
      <c r="F6" s="36"/>
      <c r="H6" s="35" t="s">
        <v>283</v>
      </c>
      <c r="I6" s="35"/>
      <c r="J6" s="35"/>
      <c r="K6" s="38">
        <v>46444.0</v>
      </c>
    </row>
    <row r="7" spans="8:8" ht="15.75" customHeight="1">
      <c r="A7" s="35" t="s">
        <v>61</v>
      </c>
      <c r="B7" s="35"/>
      <c r="C7" s="39" t="s">
        <v>280</v>
      </c>
      <c r="D7" s="39"/>
      <c r="E7" s="39"/>
      <c r="F7" s="39"/>
      <c r="H7" s="35" t="s">
        <v>284</v>
      </c>
      <c r="I7" s="35"/>
      <c r="J7" s="35"/>
      <c r="K7" s="40">
        <f>COUNTA(A15:A39)</f>
        <v>25.0</v>
      </c>
    </row>
    <row r="8" spans="8:8" ht="15.75" customHeight="1">
      <c r="A8" s="35" t="s">
        <v>285</v>
      </c>
      <c r="B8" s="35"/>
      <c r="C8" s="36" t="s">
        <v>2350</v>
      </c>
      <c r="D8" s="36"/>
      <c r="E8" s="36"/>
      <c r="F8" s="36"/>
      <c r="H8" s="35" t="s">
        <v>34</v>
      </c>
      <c r="I8" s="35"/>
      <c r="J8" s="35"/>
      <c r="K8" s="40">
        <f>COUNTIF(K15:K39,"Completed")</f>
        <v>0.0</v>
      </c>
    </row>
    <row r="9" spans="8:8" ht="15.75" customHeight="1">
      <c r="A9" s="35" t="s">
        <v>287</v>
      </c>
      <c r="B9" s="35"/>
      <c r="C9" s="36" t="s">
        <v>2351</v>
      </c>
      <c r="D9" s="36"/>
      <c r="E9" s="36"/>
      <c r="F9" s="36"/>
      <c r="H9" s="35" t="s">
        <v>64</v>
      </c>
      <c r="I9" s="35"/>
      <c r="J9" s="35"/>
      <c r="K9" s="40">
        <f>COUNTIF(L15:L39,"Compliant")</f>
        <v>0.0</v>
      </c>
    </row>
    <row r="10" spans="8:8" ht="15.75" customHeight="1">
      <c r="A10" s="35" t="s">
        <v>289</v>
      </c>
      <c r="B10" s="35"/>
      <c r="C10" s="36" t="s">
        <v>2352</v>
      </c>
      <c r="D10" s="36"/>
      <c r="E10" s="36"/>
      <c r="F10" s="36"/>
      <c r="H10" s="35" t="s">
        <v>36</v>
      </c>
      <c r="I10" s="35"/>
      <c r="J10" s="35"/>
      <c r="K10" s="40">
        <f>COUNTIF(L15:L39,"Partially Compliant")</f>
        <v>0.0</v>
      </c>
    </row>
    <row r="11" spans="8:8" ht="15.75" customHeight="1">
      <c r="A11" s="35" t="s">
        <v>291</v>
      </c>
      <c r="B11" s="35"/>
      <c r="C11" s="39" t="s">
        <v>30</v>
      </c>
      <c r="D11" s="39"/>
      <c r="E11" s="39"/>
      <c r="F11" s="39"/>
      <c r="H11" s="35" t="s">
        <v>49</v>
      </c>
      <c r="I11" s="35"/>
      <c r="J11" s="35"/>
      <c r="K11" s="40">
        <f>COUNTIF(L15:L39,"Non-Compliant")</f>
        <v>0.0</v>
      </c>
    </row>
    <row r="12" spans="8:8" ht="15.0">
      <c r="H12" s="35" t="s">
        <v>292</v>
      </c>
      <c r="I12" s="35"/>
      <c r="J12" s="35"/>
      <c r="K12" s="40">
        <f>COUNTIF(L15:L39,"Not Applicable")</f>
        <v>0.0</v>
      </c>
    </row>
    <row r="13" spans="8:8" ht="15.0">
      <c r="H13" s="35" t="s">
        <v>293</v>
      </c>
      <c r="I13" s="35"/>
      <c r="J13" s="35"/>
      <c r="K13" s="41" t="str">
        <f>_xlfn.IFERROR(AVERAGE(M15:M39),"")</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2353</v>
      </c>
      <c r="B15" s="30" t="s">
        <v>122</v>
      </c>
      <c r="C15" s="30" t="s">
        <v>123</v>
      </c>
      <c r="D15" s="30" t="s">
        <v>124</v>
      </c>
      <c r="E15" s="30" t="s">
        <v>2354</v>
      </c>
      <c r="F15" s="30" t="s">
        <v>126</v>
      </c>
      <c r="G15" s="33" t="s">
        <v>30</v>
      </c>
      <c r="H15" s="44">
        <f>$K$5</f>
        <v>46433.0</v>
      </c>
      <c r="I15" s="44">
        <f>$K$6</f>
        <v>46444.0</v>
      </c>
      <c r="J15" s="33"/>
      <c r="K15" s="33" t="s">
        <v>245</v>
      </c>
      <c r="L15" s="33"/>
      <c r="M15" s="45" t="str">
        <f>IF(L15="Compliant",1,IF(L15="Partially Compliant",0.5,IF(L15="Non-Compliant",0,"")))</f>
        <v/>
      </c>
      <c r="N15" s="33"/>
      <c r="O15" s="33"/>
      <c r="P15" s="33"/>
      <c r="Q15" s="31"/>
    </row>
    <row r="16" spans="8:8" ht="35.05">
      <c r="A16" s="30" t="s">
        <v>2355</v>
      </c>
      <c r="B16" s="30" t="s">
        <v>127</v>
      </c>
      <c r="C16" s="30" t="s">
        <v>128</v>
      </c>
      <c r="D16" s="30" t="s">
        <v>129</v>
      </c>
      <c r="E16" s="30" t="s">
        <v>2356</v>
      </c>
      <c r="F16" s="30" t="s">
        <v>131</v>
      </c>
      <c r="G16" s="33" t="s">
        <v>30</v>
      </c>
      <c r="H16" s="44">
        <f>$K$5</f>
        <v>46433.0</v>
      </c>
      <c r="I16" s="44">
        <f>$K$6</f>
        <v>46444.0</v>
      </c>
      <c r="J16" s="33"/>
      <c r="K16" s="33" t="s">
        <v>245</v>
      </c>
      <c r="L16" s="33"/>
      <c r="M16" s="45" t="str">
        <f>IF(L16="Compliant",1,IF(L16="Partially Compliant",0.5,IF(L16="Non-Compliant",0,"")))</f>
        <v/>
      </c>
      <c r="N16" s="33"/>
      <c r="O16" s="33"/>
      <c r="P16" s="33"/>
      <c r="Q16" s="31"/>
    </row>
    <row r="17" spans="8:8" ht="35.05">
      <c r="A17" s="30" t="s">
        <v>2357</v>
      </c>
      <c r="B17" s="30" t="s">
        <v>132</v>
      </c>
      <c r="C17" s="30" t="s">
        <v>133</v>
      </c>
      <c r="D17" s="30" t="s">
        <v>134</v>
      </c>
      <c r="E17" s="30" t="s">
        <v>135</v>
      </c>
      <c r="F17" s="30" t="s">
        <v>136</v>
      </c>
      <c r="G17" s="33" t="s">
        <v>30</v>
      </c>
      <c r="H17" s="44">
        <f>$K$5</f>
        <v>46433.0</v>
      </c>
      <c r="I17" s="44">
        <f>$K$6</f>
        <v>46444.0</v>
      </c>
      <c r="J17" s="33"/>
      <c r="K17" s="33" t="s">
        <v>245</v>
      </c>
      <c r="L17" s="33"/>
      <c r="M17" s="45" t="str">
        <f>IF(L17="Compliant",1,IF(L17="Partially Compliant",0.5,IF(L17="Non-Compliant",0,"")))</f>
        <v/>
      </c>
      <c r="N17" s="33"/>
      <c r="O17" s="33"/>
      <c r="P17" s="33"/>
      <c r="Q17" s="31"/>
    </row>
    <row r="18" spans="8:8" ht="57.45">
      <c r="A18" s="30" t="s">
        <v>2358</v>
      </c>
      <c r="B18" s="30" t="s">
        <v>28</v>
      </c>
      <c r="C18" s="30" t="s">
        <v>137</v>
      </c>
      <c r="D18" s="30" t="s">
        <v>138</v>
      </c>
      <c r="E18" s="30" t="s">
        <v>2359</v>
      </c>
      <c r="F18" s="30" t="s">
        <v>140</v>
      </c>
      <c r="G18" s="33" t="s">
        <v>30</v>
      </c>
      <c r="H18" s="44">
        <f>$K$5</f>
        <v>46433.0</v>
      </c>
      <c r="I18" s="44">
        <f>$K$6</f>
        <v>46444.0</v>
      </c>
      <c r="J18" s="33"/>
      <c r="K18" s="33" t="s">
        <v>245</v>
      </c>
      <c r="L18" s="33"/>
      <c r="M18" s="45" t="str">
        <f>IF(L18="Compliant",1,IF(L18="Partially Compliant",0.5,IF(L18="Non-Compliant",0,"")))</f>
        <v/>
      </c>
      <c r="N18" s="33"/>
      <c r="O18" s="33"/>
      <c r="P18" s="33"/>
      <c r="Q18" s="31"/>
    </row>
    <row r="19" spans="8:8" ht="35.05">
      <c r="A19" s="30" t="s">
        <v>2360</v>
      </c>
      <c r="B19" s="30" t="s">
        <v>141</v>
      </c>
      <c r="C19" s="30" t="s">
        <v>142</v>
      </c>
      <c r="D19" s="30" t="s">
        <v>143</v>
      </c>
      <c r="E19" s="30" t="s">
        <v>2361</v>
      </c>
      <c r="F19" s="30" t="s">
        <v>145</v>
      </c>
      <c r="G19" s="33" t="s">
        <v>30</v>
      </c>
      <c r="H19" s="44">
        <f>$K$5</f>
        <v>46433.0</v>
      </c>
      <c r="I19" s="44">
        <f>$K$6</f>
        <v>46444.0</v>
      </c>
      <c r="J19" s="33"/>
      <c r="K19" s="33" t="s">
        <v>245</v>
      </c>
      <c r="L19" s="33"/>
      <c r="M19" s="45" t="str">
        <f>IF(L19="Compliant",1,IF(L19="Partially Compliant",0.5,IF(L19="Non-Compliant",0,"")))</f>
        <v/>
      </c>
      <c r="N19" s="33"/>
      <c r="O19" s="33"/>
      <c r="P19" s="33"/>
      <c r="Q19" s="31"/>
    </row>
    <row r="20" spans="8:8" ht="46.25">
      <c r="A20" s="30" t="s">
        <v>2362</v>
      </c>
      <c r="B20" s="30" t="s">
        <v>147</v>
      </c>
      <c r="C20" s="30" t="s">
        <v>148</v>
      </c>
      <c r="D20" s="30" t="s">
        <v>149</v>
      </c>
      <c r="E20" s="30" t="s">
        <v>2363</v>
      </c>
      <c r="F20" s="30" t="s">
        <v>151</v>
      </c>
      <c r="G20" s="33" t="s">
        <v>30</v>
      </c>
      <c r="H20" s="44">
        <f>$K$5</f>
        <v>46433.0</v>
      </c>
      <c r="I20" s="44">
        <f>$K$6</f>
        <v>46444.0</v>
      </c>
      <c r="J20" s="33"/>
      <c r="K20" s="33" t="s">
        <v>245</v>
      </c>
      <c r="L20" s="33"/>
      <c r="M20" s="45" t="str">
        <f>IF(L20="Compliant",1,IF(L20="Partially Compliant",0.5,IF(L20="Non-Compliant",0,"")))</f>
        <v/>
      </c>
      <c r="N20" s="33"/>
      <c r="O20" s="33"/>
      <c r="P20" s="33"/>
      <c r="Q20" s="31"/>
    </row>
    <row r="21" spans="8:8" ht="35.05">
      <c r="A21" s="30" t="s">
        <v>2364</v>
      </c>
      <c r="B21" s="30" t="s">
        <v>152</v>
      </c>
      <c r="C21" s="30" t="s">
        <v>153</v>
      </c>
      <c r="D21" s="30" t="s">
        <v>154</v>
      </c>
      <c r="E21" s="30" t="s">
        <v>155</v>
      </c>
      <c r="F21" s="30" t="s">
        <v>156</v>
      </c>
      <c r="G21" s="33" t="s">
        <v>30</v>
      </c>
      <c r="H21" s="44">
        <f>$K$5</f>
        <v>46433.0</v>
      </c>
      <c r="I21" s="44">
        <f>$K$6</f>
        <v>46444.0</v>
      </c>
      <c r="J21" s="33"/>
      <c r="K21" s="33" t="s">
        <v>245</v>
      </c>
      <c r="L21" s="33"/>
      <c r="M21" s="45" t="str">
        <f>IF(L21="Compliant",1,IF(L21="Partially Compliant",0.5,IF(L21="Non-Compliant",0,"")))</f>
        <v/>
      </c>
      <c r="N21" s="33"/>
      <c r="O21" s="33"/>
      <c r="P21" s="33"/>
      <c r="Q21" s="31"/>
    </row>
    <row r="22" spans="8:8" ht="35.05">
      <c r="A22" s="30" t="s">
        <v>2365</v>
      </c>
      <c r="B22" s="30" t="s">
        <v>157</v>
      </c>
      <c r="C22" s="30" t="s">
        <v>158</v>
      </c>
      <c r="D22" s="30" t="s">
        <v>159</v>
      </c>
      <c r="E22" s="30" t="s">
        <v>160</v>
      </c>
      <c r="F22" s="30" t="s">
        <v>161</v>
      </c>
      <c r="G22" s="33" t="s">
        <v>30</v>
      </c>
      <c r="H22" s="44">
        <f>$K$5</f>
        <v>46433.0</v>
      </c>
      <c r="I22" s="44">
        <f>$K$6</f>
        <v>46444.0</v>
      </c>
      <c r="J22" s="33"/>
      <c r="K22" s="33" t="s">
        <v>245</v>
      </c>
      <c r="L22" s="33"/>
      <c r="M22" s="45" t="str">
        <f>IF(L22="Compliant",1,IF(L22="Partially Compliant",0.5,IF(L22="Non-Compliant",0,"")))</f>
        <v/>
      </c>
      <c r="N22" s="33"/>
      <c r="O22" s="33"/>
      <c r="P22" s="33"/>
      <c r="Q22" s="31"/>
    </row>
    <row r="23" spans="8:8" ht="35.05">
      <c r="A23" s="30" t="s">
        <v>2366</v>
      </c>
      <c r="B23" s="30" t="s">
        <v>162</v>
      </c>
      <c r="C23" s="30" t="s">
        <v>163</v>
      </c>
      <c r="D23" s="30" t="s">
        <v>164</v>
      </c>
      <c r="E23" s="30" t="s">
        <v>2367</v>
      </c>
      <c r="F23" s="30" t="s">
        <v>166</v>
      </c>
      <c r="G23" s="33" t="s">
        <v>30</v>
      </c>
      <c r="H23" s="44">
        <f>$K$5</f>
        <v>46433.0</v>
      </c>
      <c r="I23" s="44">
        <f>$K$6</f>
        <v>46444.0</v>
      </c>
      <c r="J23" s="33"/>
      <c r="K23" s="33" t="s">
        <v>245</v>
      </c>
      <c r="L23" s="33"/>
      <c r="M23" s="45" t="str">
        <f>IF(L23="Compliant",1,IF(L23="Partially Compliant",0.5,IF(L23="Non-Compliant",0,"")))</f>
        <v/>
      </c>
      <c r="N23" s="33"/>
      <c r="O23" s="33"/>
      <c r="P23" s="33"/>
      <c r="Q23" s="31"/>
    </row>
    <row r="24" spans="8:8" ht="35.05">
      <c r="A24" s="30" t="s">
        <v>2368</v>
      </c>
      <c r="B24" s="30" t="s">
        <v>167</v>
      </c>
      <c r="C24" s="30" t="s">
        <v>168</v>
      </c>
      <c r="D24" s="30" t="s">
        <v>169</v>
      </c>
      <c r="E24" s="30" t="s">
        <v>2369</v>
      </c>
      <c r="F24" s="30" t="s">
        <v>171</v>
      </c>
      <c r="G24" s="33" t="s">
        <v>30</v>
      </c>
      <c r="H24" s="44">
        <f>$K$5</f>
        <v>46433.0</v>
      </c>
      <c r="I24" s="44">
        <f>$K$6</f>
        <v>46444.0</v>
      </c>
      <c r="J24" s="33"/>
      <c r="K24" s="33" t="s">
        <v>245</v>
      </c>
      <c r="L24" s="33"/>
      <c r="M24" s="45" t="str">
        <f>IF(L24="Compliant",1,IF(L24="Partially Compliant",0.5,IF(L24="Non-Compliant",0,"")))</f>
        <v/>
      </c>
      <c r="N24" s="33"/>
      <c r="O24" s="33"/>
      <c r="P24" s="33"/>
      <c r="Q24" s="31"/>
    </row>
    <row r="25" spans="8:8" ht="35.05">
      <c r="A25" s="30" t="s">
        <v>2370</v>
      </c>
      <c r="B25" s="30" t="s">
        <v>172</v>
      </c>
      <c r="C25" s="30" t="s">
        <v>173</v>
      </c>
      <c r="D25" s="30" t="s">
        <v>174</v>
      </c>
      <c r="E25" s="30" t="s">
        <v>175</v>
      </c>
      <c r="F25" s="30" t="s">
        <v>176</v>
      </c>
      <c r="G25" s="33" t="s">
        <v>30</v>
      </c>
      <c r="H25" s="44">
        <f>$K$5</f>
        <v>46433.0</v>
      </c>
      <c r="I25" s="44">
        <f>$K$6</f>
        <v>46444.0</v>
      </c>
      <c r="J25" s="33"/>
      <c r="K25" s="33" t="s">
        <v>245</v>
      </c>
      <c r="L25" s="33"/>
      <c r="M25" s="45" t="str">
        <f>IF(L25="Compliant",1,IF(L25="Partially Compliant",0.5,IF(L25="Non-Compliant",0,"")))</f>
        <v/>
      </c>
      <c r="N25" s="33"/>
      <c r="O25" s="33"/>
      <c r="P25" s="33"/>
      <c r="Q25" s="31"/>
    </row>
    <row r="26" spans="8:8" ht="46.25">
      <c r="A26" s="30" t="s">
        <v>2371</v>
      </c>
      <c r="B26" s="30" t="s">
        <v>177</v>
      </c>
      <c r="C26" s="30" t="s">
        <v>178</v>
      </c>
      <c r="D26" s="30" t="s">
        <v>2372</v>
      </c>
      <c r="E26" s="30" t="s">
        <v>2373</v>
      </c>
      <c r="F26" s="30" t="s">
        <v>181</v>
      </c>
      <c r="G26" s="33" t="s">
        <v>30</v>
      </c>
      <c r="H26" s="44">
        <f>$K$5</f>
        <v>46433.0</v>
      </c>
      <c r="I26" s="44">
        <f>$K$6</f>
        <v>46444.0</v>
      </c>
      <c r="J26" s="33"/>
      <c r="K26" s="33" t="s">
        <v>245</v>
      </c>
      <c r="L26" s="33"/>
      <c r="M26" s="45" t="str">
        <f>IF(L26="Compliant",1,IF(L26="Partially Compliant",0.5,IF(L26="Non-Compliant",0,"")))</f>
        <v/>
      </c>
      <c r="N26" s="33"/>
      <c r="O26" s="33"/>
      <c r="P26" s="33"/>
      <c r="Q26" s="31"/>
    </row>
    <row r="27" spans="8:8" ht="35.05">
      <c r="A27" s="30" t="s">
        <v>2374</v>
      </c>
      <c r="B27" s="30" t="s">
        <v>182</v>
      </c>
      <c r="C27" s="30" t="s">
        <v>183</v>
      </c>
      <c r="D27" s="30" t="s">
        <v>184</v>
      </c>
      <c r="E27" s="30" t="s">
        <v>2375</v>
      </c>
      <c r="F27" s="30" t="s">
        <v>186</v>
      </c>
      <c r="G27" s="33" t="s">
        <v>30</v>
      </c>
      <c r="H27" s="44">
        <f>$K$5</f>
        <v>46433.0</v>
      </c>
      <c r="I27" s="44">
        <f>$K$6</f>
        <v>46444.0</v>
      </c>
      <c r="J27" s="33"/>
      <c r="K27" s="33" t="s">
        <v>245</v>
      </c>
      <c r="L27" s="33"/>
      <c r="M27" s="45" t="str">
        <f>IF(L27="Compliant",1,IF(L27="Partially Compliant",0.5,IF(L27="Non-Compliant",0,"")))</f>
        <v/>
      </c>
      <c r="N27" s="33"/>
      <c r="O27" s="33"/>
      <c r="P27" s="33"/>
      <c r="Q27" s="31"/>
    </row>
    <row r="28" spans="8:8" ht="46.25">
      <c r="A28" s="30" t="s">
        <v>2376</v>
      </c>
      <c r="B28" s="30" t="s">
        <v>187</v>
      </c>
      <c r="C28" s="30" t="s">
        <v>188</v>
      </c>
      <c r="D28" s="30" t="s">
        <v>189</v>
      </c>
      <c r="E28" s="30" t="s">
        <v>2377</v>
      </c>
      <c r="F28" s="30" t="s">
        <v>191</v>
      </c>
      <c r="G28" s="33" t="s">
        <v>30</v>
      </c>
      <c r="H28" s="44">
        <f>$K$5</f>
        <v>46433.0</v>
      </c>
      <c r="I28" s="44">
        <f>$K$6</f>
        <v>46444.0</v>
      </c>
      <c r="J28" s="33"/>
      <c r="K28" s="33" t="s">
        <v>245</v>
      </c>
      <c r="L28" s="33"/>
      <c r="M28" s="45" t="str">
        <f>IF(L28="Compliant",1,IF(L28="Partially Compliant",0.5,IF(L28="Non-Compliant",0,"")))</f>
        <v/>
      </c>
      <c r="N28" s="33"/>
      <c r="O28" s="33"/>
      <c r="P28" s="33"/>
      <c r="Q28" s="31"/>
    </row>
    <row r="29" spans="8:8" ht="35.05">
      <c r="A29" s="30" t="s">
        <v>2378</v>
      </c>
      <c r="B29" s="30" t="s">
        <v>192</v>
      </c>
      <c r="C29" s="30" t="s">
        <v>193</v>
      </c>
      <c r="D29" s="30" t="s">
        <v>194</v>
      </c>
      <c r="E29" s="30" t="s">
        <v>2379</v>
      </c>
      <c r="F29" s="30" t="s">
        <v>196</v>
      </c>
      <c r="G29" s="33" t="s">
        <v>30</v>
      </c>
      <c r="H29" s="44">
        <f>$K$5</f>
        <v>46433.0</v>
      </c>
      <c r="I29" s="44">
        <f>$K$6</f>
        <v>46444.0</v>
      </c>
      <c r="J29" s="33"/>
      <c r="K29" s="33" t="s">
        <v>245</v>
      </c>
      <c r="L29" s="33"/>
      <c r="M29" s="45" t="str">
        <f>IF(L29="Compliant",1,IF(L29="Partially Compliant",0.5,IF(L29="Non-Compliant",0,"")))</f>
        <v/>
      </c>
      <c r="N29" s="33"/>
      <c r="O29" s="33"/>
      <c r="P29" s="33"/>
      <c r="Q29" s="31"/>
    </row>
    <row r="30" spans="8:8" ht="35.05">
      <c r="A30" s="30" t="s">
        <v>2380</v>
      </c>
      <c r="B30" s="30" t="s">
        <v>197</v>
      </c>
      <c r="C30" s="30" t="s">
        <v>198</v>
      </c>
      <c r="D30" s="30" t="s">
        <v>199</v>
      </c>
      <c r="E30" s="30" t="s">
        <v>2381</v>
      </c>
      <c r="F30" s="30" t="s">
        <v>201</v>
      </c>
      <c r="G30" s="33" t="s">
        <v>30</v>
      </c>
      <c r="H30" s="44">
        <f>$K$5</f>
        <v>46433.0</v>
      </c>
      <c r="I30" s="44">
        <f>$K$6</f>
        <v>46444.0</v>
      </c>
      <c r="J30" s="33"/>
      <c r="K30" s="33" t="s">
        <v>245</v>
      </c>
      <c r="L30" s="33"/>
      <c r="M30" s="45" t="str">
        <f>IF(L30="Compliant",1,IF(L30="Partially Compliant",0.5,IF(L30="Non-Compliant",0,"")))</f>
        <v/>
      </c>
      <c r="N30" s="33"/>
      <c r="O30" s="33"/>
      <c r="P30" s="33"/>
      <c r="Q30" s="31"/>
    </row>
    <row r="31" spans="8:8" ht="35.05">
      <c r="A31" s="30" t="s">
        <v>2382</v>
      </c>
      <c r="B31" s="30" t="s">
        <v>202</v>
      </c>
      <c r="C31" s="30" t="s">
        <v>203</v>
      </c>
      <c r="D31" s="30" t="s">
        <v>204</v>
      </c>
      <c r="E31" s="30" t="s">
        <v>205</v>
      </c>
      <c r="F31" s="30" t="s">
        <v>206</v>
      </c>
      <c r="G31" s="33" t="s">
        <v>207</v>
      </c>
      <c r="H31" s="44">
        <f>$K$5</f>
        <v>46433.0</v>
      </c>
      <c r="I31" s="44">
        <f>$K$6</f>
        <v>46444.0</v>
      </c>
      <c r="J31" s="33"/>
      <c r="K31" s="33" t="s">
        <v>245</v>
      </c>
      <c r="L31" s="33"/>
      <c r="M31" s="45" t="str">
        <f>IF(L31="Compliant",1,IF(L31="Partially Compliant",0.5,IF(L31="Non-Compliant",0,"")))</f>
        <v/>
      </c>
      <c r="N31" s="33"/>
      <c r="O31" s="33"/>
      <c r="P31" s="33"/>
      <c r="Q31" s="31"/>
    </row>
    <row r="32" spans="8:8" ht="23.85">
      <c r="A32" s="30" t="s">
        <v>2383</v>
      </c>
      <c r="B32" s="30" t="s">
        <v>208</v>
      </c>
      <c r="C32" s="30" t="s">
        <v>209</v>
      </c>
      <c r="D32" s="30" t="s">
        <v>210</v>
      </c>
      <c r="E32" s="30" t="s">
        <v>2384</v>
      </c>
      <c r="F32" s="30" t="s">
        <v>212</v>
      </c>
      <c r="G32" s="33" t="s">
        <v>207</v>
      </c>
      <c r="H32" s="44">
        <f>$K$5</f>
        <v>46433.0</v>
      </c>
      <c r="I32" s="44">
        <f>$K$6</f>
        <v>46444.0</v>
      </c>
      <c r="J32" s="33"/>
      <c r="K32" s="33" t="s">
        <v>245</v>
      </c>
      <c r="L32" s="33"/>
      <c r="M32" s="45" t="str">
        <f>IF(L32="Compliant",1,IF(L32="Partially Compliant",0.5,IF(L32="Non-Compliant",0,"")))</f>
        <v/>
      </c>
      <c r="N32" s="33"/>
      <c r="O32" s="33"/>
      <c r="P32" s="33"/>
      <c r="Q32" s="31"/>
    </row>
    <row r="33" spans="8:8" ht="23.85">
      <c r="A33" s="30" t="s">
        <v>2385</v>
      </c>
      <c r="B33" s="30" t="s">
        <v>213</v>
      </c>
      <c r="C33" s="30" t="s">
        <v>214</v>
      </c>
      <c r="D33" s="30" t="s">
        <v>215</v>
      </c>
      <c r="E33" s="30" t="s">
        <v>2386</v>
      </c>
      <c r="F33" s="30" t="s">
        <v>217</v>
      </c>
      <c r="G33" s="33" t="s">
        <v>207</v>
      </c>
      <c r="H33" s="44">
        <f>$K$5</f>
        <v>46433.0</v>
      </c>
      <c r="I33" s="44">
        <f>$K$6</f>
        <v>46444.0</v>
      </c>
      <c r="J33" s="33"/>
      <c r="K33" s="33" t="s">
        <v>245</v>
      </c>
      <c r="L33" s="33"/>
      <c r="M33" s="45" t="str">
        <f>IF(L33="Compliant",1,IF(L33="Partially Compliant",0.5,IF(L33="Non-Compliant",0,"")))</f>
        <v/>
      </c>
      <c r="N33" s="33"/>
      <c r="O33" s="33"/>
      <c r="P33" s="33"/>
      <c r="Q33" s="31"/>
    </row>
    <row r="34" spans="8:8" ht="35.05">
      <c r="A34" s="30" t="s">
        <v>2387</v>
      </c>
      <c r="B34" s="30" t="s">
        <v>218</v>
      </c>
      <c r="C34" s="30" t="s">
        <v>219</v>
      </c>
      <c r="D34" s="30" t="s">
        <v>220</v>
      </c>
      <c r="E34" s="30" t="s">
        <v>2388</v>
      </c>
      <c r="F34" s="30" t="s">
        <v>222</v>
      </c>
      <c r="G34" s="33" t="s">
        <v>30</v>
      </c>
      <c r="H34" s="44">
        <f>$K$5</f>
        <v>46433.0</v>
      </c>
      <c r="I34" s="44">
        <f>$K$6</f>
        <v>46444.0</v>
      </c>
      <c r="J34" s="33"/>
      <c r="K34" s="33" t="s">
        <v>245</v>
      </c>
      <c r="L34" s="33"/>
      <c r="M34" s="45" t="str">
        <f>IF(L34="Compliant",1,IF(L34="Partially Compliant",0.5,IF(L34="Non-Compliant",0,"")))</f>
        <v/>
      </c>
      <c r="N34" s="33"/>
      <c r="O34" s="33"/>
      <c r="P34" s="33"/>
      <c r="Q34" s="31"/>
    </row>
    <row r="35" spans="8:8" ht="35.05">
      <c r="A35" s="30" t="s">
        <v>2389</v>
      </c>
      <c r="B35" s="30" t="s">
        <v>223</v>
      </c>
      <c r="C35" s="30" t="s">
        <v>224</v>
      </c>
      <c r="D35" s="30" t="s">
        <v>225</v>
      </c>
      <c r="E35" s="30" t="s">
        <v>2390</v>
      </c>
      <c r="F35" s="30" t="s">
        <v>227</v>
      </c>
      <c r="G35" s="33" t="s">
        <v>207</v>
      </c>
      <c r="H35" s="44">
        <f>$K$5</f>
        <v>46433.0</v>
      </c>
      <c r="I35" s="44">
        <f>$K$6</f>
        <v>46444.0</v>
      </c>
      <c r="J35" s="33"/>
      <c r="K35" s="33" t="s">
        <v>245</v>
      </c>
      <c r="L35" s="33"/>
      <c r="M35" s="45" t="str">
        <f>IF(L35="Compliant",1,IF(L35="Partially Compliant",0.5,IF(L35="Non-Compliant",0,"")))</f>
        <v/>
      </c>
      <c r="N35" s="33"/>
      <c r="O35" s="33"/>
      <c r="P35" s="33"/>
      <c r="Q35" s="31"/>
    </row>
    <row r="36" spans="8:8" ht="35.05">
      <c r="A36" s="30" t="s">
        <v>2391</v>
      </c>
      <c r="B36" s="30" t="s">
        <v>228</v>
      </c>
      <c r="C36" s="30" t="s">
        <v>229</v>
      </c>
      <c r="D36" s="30" t="s">
        <v>230</v>
      </c>
      <c r="E36" s="30" t="s">
        <v>2392</v>
      </c>
      <c r="F36" s="30" t="s">
        <v>232</v>
      </c>
      <c r="G36" s="33" t="s">
        <v>30</v>
      </c>
      <c r="H36" s="44">
        <f>$K$5</f>
        <v>46433.0</v>
      </c>
      <c r="I36" s="44">
        <f>$K$6</f>
        <v>46444.0</v>
      </c>
      <c r="J36" s="33"/>
      <c r="K36" s="33" t="s">
        <v>245</v>
      </c>
      <c r="L36" s="33"/>
      <c r="M36" s="45" t="str">
        <f>IF(L36="Compliant",1,IF(L36="Partially Compliant",0.5,IF(L36="Non-Compliant",0,"")))</f>
        <v/>
      </c>
      <c r="N36" s="33"/>
      <c r="O36" s="33"/>
      <c r="P36" s="33"/>
      <c r="Q36" s="31"/>
    </row>
    <row r="37" spans="8:8" ht="35.05">
      <c r="A37" s="30" t="s">
        <v>2393</v>
      </c>
      <c r="B37" s="43" t="s">
        <v>2394</v>
      </c>
      <c r="C37" s="30" t="s">
        <v>2395</v>
      </c>
      <c r="D37" s="30" t="s">
        <v>2396</v>
      </c>
      <c r="E37" s="30" t="s">
        <v>2397</v>
      </c>
      <c r="F37" s="30" t="s">
        <v>2398</v>
      </c>
      <c r="G37" s="33" t="s">
        <v>30</v>
      </c>
      <c r="H37" s="44">
        <f>$K$5</f>
        <v>46433.0</v>
      </c>
      <c r="I37" s="44">
        <f>$K$6</f>
        <v>46444.0</v>
      </c>
      <c r="J37" s="33"/>
      <c r="K37" s="33" t="s">
        <v>245</v>
      </c>
      <c r="L37" s="33"/>
      <c r="M37" s="45" t="str">
        <f>IF(L37="Compliant",1,IF(L37="Partially Compliant",0.5,IF(L37="Non-Compliant",0,"")))</f>
        <v/>
      </c>
      <c r="N37" s="33"/>
      <c r="O37" s="33"/>
      <c r="P37" s="33"/>
      <c r="Q37" s="31"/>
    </row>
    <row r="38" spans="8:8" ht="35.05">
      <c r="A38" s="30" t="s">
        <v>2399</v>
      </c>
      <c r="B38" s="43" t="s">
        <v>2400</v>
      </c>
      <c r="C38" s="30" t="s">
        <v>2401</v>
      </c>
      <c r="D38" s="30" t="s">
        <v>2402</v>
      </c>
      <c r="E38" s="30" t="s">
        <v>2403</v>
      </c>
      <c r="F38" s="30" t="s">
        <v>2404</v>
      </c>
      <c r="G38" s="33" t="s">
        <v>30</v>
      </c>
      <c r="H38" s="44">
        <f>$K$5</f>
        <v>46433.0</v>
      </c>
      <c r="I38" s="44">
        <f>$K$6</f>
        <v>46444.0</v>
      </c>
      <c r="J38" s="33"/>
      <c r="K38" s="33" t="s">
        <v>245</v>
      </c>
      <c r="L38" s="33"/>
      <c r="M38" s="45" t="str">
        <f>IF(L38="Compliant",1,IF(L38="Partially Compliant",0.5,IF(L38="Non-Compliant",0,"")))</f>
        <v/>
      </c>
      <c r="N38" s="33"/>
      <c r="O38" s="33"/>
      <c r="P38" s="33"/>
      <c r="Q38" s="31"/>
    </row>
    <row r="39" spans="8:8" ht="35.05">
      <c r="A39" s="30" t="s">
        <v>2405</v>
      </c>
      <c r="B39" s="43" t="s">
        <v>2406</v>
      </c>
      <c r="C39" s="30" t="s">
        <v>2407</v>
      </c>
      <c r="D39" s="30" t="s">
        <v>2408</v>
      </c>
      <c r="E39" s="30" t="s">
        <v>2409</v>
      </c>
      <c r="F39" s="30" t="s">
        <v>2410</v>
      </c>
      <c r="G39" s="33" t="s">
        <v>146</v>
      </c>
      <c r="H39" s="44">
        <f>$K$5</f>
        <v>46433.0</v>
      </c>
      <c r="I39" s="44">
        <f>$K$6</f>
        <v>46444.0</v>
      </c>
      <c r="J39" s="33"/>
      <c r="K39" s="33" t="s">
        <v>245</v>
      </c>
      <c r="L39" s="33"/>
      <c r="M39" s="45" t="str">
        <f>IF(L39="Compliant",1,IF(L39="Partially Compliant",0.5,IF(L39="Non-Compliant",0,"")))</f>
        <v/>
      </c>
      <c r="N39" s="33"/>
      <c r="O39" s="33"/>
      <c r="P39" s="33"/>
      <c r="Q39" s="31"/>
    </row>
    <row r="41" spans="8:8" ht="15.0">
      <c r="A41" s="27" t="s">
        <v>439</v>
      </c>
    </row>
  </sheetData>
  <autoFilter ref="A14:Q39">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9">
    <cfRule type="cellIs" operator="equal" priority="3" dxfId="143">
      <formula>"Partially Compliant"</formula>
    </cfRule>
    <cfRule type="cellIs" operator="equal" priority="4" dxfId="144">
      <formula>"Non-Compliant"</formula>
    </cfRule>
    <cfRule type="cellIs" operator="equal" priority="2" dxfId="145">
      <formula>"Compliant"</formula>
    </cfRule>
  </conditionalFormatting>
  <conditionalFormatting sqref="G15:G39">
    <cfRule type="cellIs" operator="equal" priority="5" dxfId="146">
      <formula>"High"</formula>
    </cfRule>
  </conditionalFormatting>
  <dataValidations count="4">
    <dataValidation allowBlank="1" type="list" errorStyle="stop" sqref="G15:G39">
      <formula1>"High,Medium,Low"</formula1>
      <formula2>0</formula2>
    </dataValidation>
    <dataValidation allowBlank="1" type="list" errorStyle="stop" sqref="K15:K39">
      <formula1>"Not Started,In Progress,Fieldwork Done,Reported,Completed"</formula1>
      <formula2>0</formula2>
    </dataValidation>
    <dataValidation allowBlank="1" type="list" errorStyle="stop" sqref="L15:L39">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41.xml><?xml version="1.0" encoding="utf-8"?>
<worksheet xmlns:r="http://schemas.openxmlformats.org/officeDocument/2006/relationships" xmlns="http://schemas.openxmlformats.org/spreadsheetml/2006/main">
  <sheetPr>
    <tabColor rgb="FFBF8F00"/>
    <pageSetUpPr fitToPage="1"/>
  </sheetPr>
  <dimension ref="A1:R40"/>
  <sheetViews>
    <sheetView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2411</v>
      </c>
      <c r="N1" s="34" t="s">
        <v>277</v>
      </c>
    </row>
    <row r="2" spans="8:8" ht="15.0">
      <c r="A2" s="12" t="s">
        <v>278</v>
      </c>
    </row>
    <row r="4" spans="8:8" ht="15.75" customHeight="1">
      <c r="A4" s="35" t="s">
        <v>59</v>
      </c>
      <c r="B4" s="35"/>
      <c r="C4" s="36" t="s">
        <v>111</v>
      </c>
      <c r="D4" s="36"/>
      <c r="E4" s="36"/>
      <c r="F4" s="36"/>
      <c r="H4" s="35" t="s">
        <v>279</v>
      </c>
      <c r="I4" s="35"/>
      <c r="J4" s="35"/>
      <c r="K4" s="37" t="s">
        <v>280</v>
      </c>
    </row>
    <row r="5" spans="8:8" ht="15.75" customHeight="1">
      <c r="A5" s="35" t="s">
        <v>281</v>
      </c>
      <c r="B5" s="35"/>
      <c r="C5" s="36" t="s">
        <v>55</v>
      </c>
      <c r="D5" s="36"/>
      <c r="E5" s="36"/>
      <c r="F5" s="36"/>
      <c r="H5" s="35" t="s">
        <v>63</v>
      </c>
      <c r="I5" s="35"/>
      <c r="J5" s="35"/>
      <c r="K5" s="38">
        <v>46433.0</v>
      </c>
    </row>
    <row r="6" spans="8:8" ht="15.75" customHeight="1">
      <c r="A6" s="35" t="s">
        <v>282</v>
      </c>
      <c r="B6" s="35"/>
      <c r="C6" s="36" t="s">
        <v>82</v>
      </c>
      <c r="D6" s="36"/>
      <c r="E6" s="36"/>
      <c r="F6" s="36"/>
      <c r="H6" s="35" t="s">
        <v>283</v>
      </c>
      <c r="I6" s="35"/>
      <c r="J6" s="35"/>
      <c r="K6" s="38">
        <v>46444.0</v>
      </c>
    </row>
    <row r="7" spans="8:8" ht="15.75" customHeight="1">
      <c r="A7" s="35" t="s">
        <v>61</v>
      </c>
      <c r="B7" s="35"/>
      <c r="C7" s="39" t="s">
        <v>280</v>
      </c>
      <c r="D7" s="39"/>
      <c r="E7" s="39"/>
      <c r="F7" s="39"/>
      <c r="H7" s="35" t="s">
        <v>284</v>
      </c>
      <c r="I7" s="35"/>
      <c r="J7" s="35"/>
      <c r="K7" s="40">
        <f>COUNTA(A15:A38)</f>
        <v>24.0</v>
      </c>
    </row>
    <row r="8" spans="8:8" ht="15.75" customHeight="1">
      <c r="A8" s="35" t="s">
        <v>285</v>
      </c>
      <c r="B8" s="35"/>
      <c r="C8" s="36" t="s">
        <v>2412</v>
      </c>
      <c r="D8" s="36"/>
      <c r="E8" s="36"/>
      <c r="F8" s="36"/>
      <c r="H8" s="35" t="s">
        <v>34</v>
      </c>
      <c r="I8" s="35"/>
      <c r="J8" s="35"/>
      <c r="K8" s="40">
        <f>COUNTIF(K15:K38,"Completed")</f>
        <v>0.0</v>
      </c>
    </row>
    <row r="9" spans="8:8" ht="15.75" customHeight="1">
      <c r="A9" s="35" t="s">
        <v>287</v>
      </c>
      <c r="B9" s="35"/>
      <c r="C9" s="36" t="s">
        <v>2413</v>
      </c>
      <c r="D9" s="36"/>
      <c r="E9" s="36"/>
      <c r="F9" s="36"/>
      <c r="H9" s="35" t="s">
        <v>64</v>
      </c>
      <c r="I9" s="35"/>
      <c r="J9" s="35"/>
      <c r="K9" s="40">
        <f>COUNTIF(L15:L38,"Compliant")</f>
        <v>0.0</v>
      </c>
    </row>
    <row r="10" spans="8:8" ht="15.75" customHeight="1">
      <c r="A10" s="35" t="s">
        <v>289</v>
      </c>
      <c r="B10" s="35"/>
      <c r="C10" s="36" t="s">
        <v>2414</v>
      </c>
      <c r="D10" s="36"/>
      <c r="E10" s="36"/>
      <c r="F10" s="36"/>
      <c r="H10" s="35" t="s">
        <v>36</v>
      </c>
      <c r="I10" s="35"/>
      <c r="J10" s="35"/>
      <c r="K10" s="40">
        <f>COUNTIF(L15:L38,"Partially Compliant")</f>
        <v>0.0</v>
      </c>
    </row>
    <row r="11" spans="8:8" ht="15.75" customHeight="1">
      <c r="A11" s="35" t="s">
        <v>291</v>
      </c>
      <c r="B11" s="35"/>
      <c r="C11" s="39" t="s">
        <v>30</v>
      </c>
      <c r="D11" s="39"/>
      <c r="E11" s="39"/>
      <c r="F11" s="39"/>
      <c r="H11" s="35" t="s">
        <v>49</v>
      </c>
      <c r="I11" s="35"/>
      <c r="J11" s="35"/>
      <c r="K11" s="40">
        <f>COUNTIF(L15:L38,"Non-Compliant")</f>
        <v>0.0</v>
      </c>
    </row>
    <row r="12" spans="8:8" ht="15.0">
      <c r="H12" s="35" t="s">
        <v>292</v>
      </c>
      <c r="I12" s="35"/>
      <c r="J12" s="35"/>
      <c r="K12" s="40">
        <f>COUNTIF(L15:L38,"Not Applicable")</f>
        <v>0.0</v>
      </c>
    </row>
    <row r="13" spans="8:8" ht="15.0">
      <c r="H13" s="35" t="s">
        <v>293</v>
      </c>
      <c r="I13" s="35"/>
      <c r="J13" s="35"/>
      <c r="K13" s="41" t="str">
        <f>_xlfn.IFERROR(AVERAGE(M15:M38),"")</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57.45">
      <c r="A15" s="30" t="s">
        <v>2415</v>
      </c>
      <c r="B15" s="30" t="s">
        <v>122</v>
      </c>
      <c r="C15" s="30" t="s">
        <v>123</v>
      </c>
      <c r="D15" s="30" t="s">
        <v>124</v>
      </c>
      <c r="E15" s="30" t="s">
        <v>2416</v>
      </c>
      <c r="F15" s="30" t="s">
        <v>126</v>
      </c>
      <c r="G15" s="33" t="s">
        <v>30</v>
      </c>
      <c r="H15" s="44">
        <f>$K$5</f>
        <v>46433.0</v>
      </c>
      <c r="I15" s="44">
        <f>$K$6</f>
        <v>46444.0</v>
      </c>
      <c r="J15" s="33"/>
      <c r="K15" s="33" t="s">
        <v>245</v>
      </c>
      <c r="L15" s="33"/>
      <c r="M15" s="45" t="str">
        <f>IF(L15="Compliant",1,IF(L15="Partially Compliant",0.5,IF(L15="Non-Compliant",0,"")))</f>
        <v/>
      </c>
      <c r="N15" s="33"/>
      <c r="O15" s="33"/>
      <c r="P15" s="33"/>
      <c r="Q15" s="31"/>
    </row>
    <row r="16" spans="8:8" ht="23.85">
      <c r="A16" s="30" t="s">
        <v>2417</v>
      </c>
      <c r="B16" s="30" t="s">
        <v>127</v>
      </c>
      <c r="C16" s="30" t="s">
        <v>128</v>
      </c>
      <c r="D16" s="30" t="s">
        <v>129</v>
      </c>
      <c r="E16" s="30" t="s">
        <v>2418</v>
      </c>
      <c r="F16" s="30" t="s">
        <v>131</v>
      </c>
      <c r="G16" s="33" t="s">
        <v>30</v>
      </c>
      <c r="H16" s="44">
        <f>$K$5</f>
        <v>46433.0</v>
      </c>
      <c r="I16" s="44">
        <f>$K$6</f>
        <v>46444.0</v>
      </c>
      <c r="J16" s="33"/>
      <c r="K16" s="33" t="s">
        <v>245</v>
      </c>
      <c r="L16" s="33"/>
      <c r="M16" s="45" t="str">
        <f>IF(L16="Compliant",1,IF(L16="Partially Compliant",0.5,IF(L16="Non-Compliant",0,"")))</f>
        <v/>
      </c>
      <c r="N16" s="33"/>
      <c r="O16" s="33"/>
      <c r="P16" s="33"/>
      <c r="Q16" s="31"/>
    </row>
    <row r="17" spans="8:8" ht="35.05">
      <c r="A17" s="30" t="s">
        <v>2419</v>
      </c>
      <c r="B17" s="30" t="s">
        <v>132</v>
      </c>
      <c r="C17" s="30" t="s">
        <v>133</v>
      </c>
      <c r="D17" s="30" t="s">
        <v>134</v>
      </c>
      <c r="E17" s="30" t="s">
        <v>135</v>
      </c>
      <c r="F17" s="30" t="s">
        <v>136</v>
      </c>
      <c r="G17" s="33" t="s">
        <v>30</v>
      </c>
      <c r="H17" s="44">
        <f>$K$5</f>
        <v>46433.0</v>
      </c>
      <c r="I17" s="44">
        <f>$K$6</f>
        <v>46444.0</v>
      </c>
      <c r="J17" s="33"/>
      <c r="K17" s="33" t="s">
        <v>245</v>
      </c>
      <c r="L17" s="33"/>
      <c r="M17" s="45" t="str">
        <f>IF(L17="Compliant",1,IF(L17="Partially Compliant",0.5,IF(L17="Non-Compliant",0,"")))</f>
        <v/>
      </c>
      <c r="N17" s="33"/>
      <c r="O17" s="33"/>
      <c r="P17" s="33"/>
      <c r="Q17" s="31"/>
    </row>
    <row r="18" spans="8:8" ht="57.45">
      <c r="A18" s="30" t="s">
        <v>2420</v>
      </c>
      <c r="B18" s="30" t="s">
        <v>28</v>
      </c>
      <c r="C18" s="30" t="s">
        <v>137</v>
      </c>
      <c r="D18" s="30" t="s">
        <v>138</v>
      </c>
      <c r="E18" s="30" t="s">
        <v>2421</v>
      </c>
      <c r="F18" s="30" t="s">
        <v>140</v>
      </c>
      <c r="G18" s="33" t="s">
        <v>30</v>
      </c>
      <c r="H18" s="44">
        <f>$K$5</f>
        <v>46433.0</v>
      </c>
      <c r="I18" s="44">
        <f>$K$6</f>
        <v>46444.0</v>
      </c>
      <c r="J18" s="33"/>
      <c r="K18" s="33" t="s">
        <v>245</v>
      </c>
      <c r="L18" s="33"/>
      <c r="M18" s="45" t="str">
        <f>IF(L18="Compliant",1,IF(L18="Partially Compliant",0.5,IF(L18="Non-Compliant",0,"")))</f>
        <v/>
      </c>
      <c r="N18" s="33"/>
      <c r="O18" s="33"/>
      <c r="P18" s="33"/>
      <c r="Q18" s="31"/>
    </row>
    <row r="19" spans="8:8" ht="35.05">
      <c r="A19" s="30" t="s">
        <v>2422</v>
      </c>
      <c r="B19" s="30" t="s">
        <v>141</v>
      </c>
      <c r="C19" s="30" t="s">
        <v>142</v>
      </c>
      <c r="D19" s="30" t="s">
        <v>143</v>
      </c>
      <c r="E19" s="30" t="s">
        <v>2423</v>
      </c>
      <c r="F19" s="30" t="s">
        <v>145</v>
      </c>
      <c r="G19" s="33" t="s">
        <v>30</v>
      </c>
      <c r="H19" s="44">
        <f>$K$5</f>
        <v>46433.0</v>
      </c>
      <c r="I19" s="44">
        <f>$K$6</f>
        <v>46444.0</v>
      </c>
      <c r="J19" s="33"/>
      <c r="K19" s="33" t="s">
        <v>245</v>
      </c>
      <c r="L19" s="33"/>
      <c r="M19" s="45" t="str">
        <f>IF(L19="Compliant",1,IF(L19="Partially Compliant",0.5,IF(L19="Non-Compliant",0,"")))</f>
        <v/>
      </c>
      <c r="N19" s="33"/>
      <c r="O19" s="33"/>
      <c r="P19" s="33"/>
      <c r="Q19" s="31"/>
    </row>
    <row r="20" spans="8:8" ht="46.25">
      <c r="A20" s="30" t="s">
        <v>2424</v>
      </c>
      <c r="B20" s="30" t="s">
        <v>147</v>
      </c>
      <c r="C20" s="30" t="s">
        <v>148</v>
      </c>
      <c r="D20" s="30" t="s">
        <v>149</v>
      </c>
      <c r="E20" s="30" t="s">
        <v>2425</v>
      </c>
      <c r="F20" s="30" t="s">
        <v>151</v>
      </c>
      <c r="G20" s="33" t="s">
        <v>30</v>
      </c>
      <c r="H20" s="44">
        <f>$K$5</f>
        <v>46433.0</v>
      </c>
      <c r="I20" s="44">
        <f>$K$6</f>
        <v>46444.0</v>
      </c>
      <c r="J20" s="33"/>
      <c r="K20" s="33" t="s">
        <v>245</v>
      </c>
      <c r="L20" s="33"/>
      <c r="M20" s="45" t="str">
        <f>IF(L20="Compliant",1,IF(L20="Partially Compliant",0.5,IF(L20="Non-Compliant",0,"")))</f>
        <v/>
      </c>
      <c r="N20" s="33"/>
      <c r="O20" s="33"/>
      <c r="P20" s="33"/>
      <c r="Q20" s="31"/>
    </row>
    <row r="21" spans="8:8" ht="35.05">
      <c r="A21" s="30" t="s">
        <v>2426</v>
      </c>
      <c r="B21" s="30" t="s">
        <v>152</v>
      </c>
      <c r="C21" s="30" t="s">
        <v>153</v>
      </c>
      <c r="D21" s="30" t="s">
        <v>154</v>
      </c>
      <c r="E21" s="30" t="s">
        <v>155</v>
      </c>
      <c r="F21" s="30" t="s">
        <v>156</v>
      </c>
      <c r="G21" s="33" t="s">
        <v>30</v>
      </c>
      <c r="H21" s="44">
        <f>$K$5</f>
        <v>46433.0</v>
      </c>
      <c r="I21" s="44">
        <f>$K$6</f>
        <v>46444.0</v>
      </c>
      <c r="J21" s="33"/>
      <c r="K21" s="33" t="s">
        <v>245</v>
      </c>
      <c r="L21" s="33"/>
      <c r="M21" s="45" t="str">
        <f>IF(L21="Compliant",1,IF(L21="Partially Compliant",0.5,IF(L21="Non-Compliant",0,"")))</f>
        <v/>
      </c>
      <c r="N21" s="33"/>
      <c r="O21" s="33"/>
      <c r="P21" s="33"/>
      <c r="Q21" s="31"/>
    </row>
    <row r="22" spans="8:8" ht="35.05">
      <c r="A22" s="30" t="s">
        <v>2427</v>
      </c>
      <c r="B22" s="30" t="s">
        <v>157</v>
      </c>
      <c r="C22" s="30" t="s">
        <v>158</v>
      </c>
      <c r="D22" s="30" t="s">
        <v>159</v>
      </c>
      <c r="E22" s="30" t="s">
        <v>160</v>
      </c>
      <c r="F22" s="30" t="s">
        <v>161</v>
      </c>
      <c r="G22" s="33" t="s">
        <v>30</v>
      </c>
      <c r="H22" s="44">
        <f>$K$5</f>
        <v>46433.0</v>
      </c>
      <c r="I22" s="44">
        <f>$K$6</f>
        <v>46444.0</v>
      </c>
      <c r="J22" s="33"/>
      <c r="K22" s="33" t="s">
        <v>245</v>
      </c>
      <c r="L22" s="33"/>
      <c r="M22" s="45" t="str">
        <f>IF(L22="Compliant",1,IF(L22="Partially Compliant",0.5,IF(L22="Non-Compliant",0,"")))</f>
        <v/>
      </c>
      <c r="N22" s="33"/>
      <c r="O22" s="33"/>
      <c r="P22" s="33"/>
      <c r="Q22" s="31"/>
    </row>
    <row r="23" spans="8:8" ht="35.05">
      <c r="A23" s="30" t="s">
        <v>2428</v>
      </c>
      <c r="B23" s="30" t="s">
        <v>162</v>
      </c>
      <c r="C23" s="30" t="s">
        <v>163</v>
      </c>
      <c r="D23" s="30" t="s">
        <v>164</v>
      </c>
      <c r="E23" s="30" t="s">
        <v>2429</v>
      </c>
      <c r="F23" s="30" t="s">
        <v>166</v>
      </c>
      <c r="G23" s="33" t="s">
        <v>30</v>
      </c>
      <c r="H23" s="44">
        <f>$K$5</f>
        <v>46433.0</v>
      </c>
      <c r="I23" s="44">
        <f>$K$6</f>
        <v>46444.0</v>
      </c>
      <c r="J23" s="33"/>
      <c r="K23" s="33" t="s">
        <v>245</v>
      </c>
      <c r="L23" s="33"/>
      <c r="M23" s="45" t="str">
        <f>IF(L23="Compliant",1,IF(L23="Partially Compliant",0.5,IF(L23="Non-Compliant",0,"")))</f>
        <v/>
      </c>
      <c r="N23" s="33"/>
      <c r="O23" s="33"/>
      <c r="P23" s="33"/>
      <c r="Q23" s="31"/>
    </row>
    <row r="24" spans="8:8" ht="35.05">
      <c r="A24" s="30" t="s">
        <v>2430</v>
      </c>
      <c r="B24" s="30" t="s">
        <v>167</v>
      </c>
      <c r="C24" s="30" t="s">
        <v>168</v>
      </c>
      <c r="D24" s="30" t="s">
        <v>169</v>
      </c>
      <c r="E24" s="30" t="s">
        <v>2431</v>
      </c>
      <c r="F24" s="30" t="s">
        <v>171</v>
      </c>
      <c r="G24" s="33" t="s">
        <v>30</v>
      </c>
      <c r="H24" s="44">
        <f>$K$5</f>
        <v>46433.0</v>
      </c>
      <c r="I24" s="44">
        <f>$K$6</f>
        <v>46444.0</v>
      </c>
      <c r="J24" s="33"/>
      <c r="K24" s="33" t="s">
        <v>245</v>
      </c>
      <c r="L24" s="33"/>
      <c r="M24" s="45" t="str">
        <f>IF(L24="Compliant",1,IF(L24="Partially Compliant",0.5,IF(L24="Non-Compliant",0,"")))</f>
        <v/>
      </c>
      <c r="N24" s="33"/>
      <c r="O24" s="33"/>
      <c r="P24" s="33"/>
      <c r="Q24" s="31"/>
    </row>
    <row r="25" spans="8:8" ht="35.05">
      <c r="A25" s="30" t="s">
        <v>2432</v>
      </c>
      <c r="B25" s="30" t="s">
        <v>172</v>
      </c>
      <c r="C25" s="30" t="s">
        <v>173</v>
      </c>
      <c r="D25" s="30" t="s">
        <v>174</v>
      </c>
      <c r="E25" s="30" t="s">
        <v>175</v>
      </c>
      <c r="F25" s="30" t="s">
        <v>176</v>
      </c>
      <c r="G25" s="33" t="s">
        <v>30</v>
      </c>
      <c r="H25" s="44">
        <f>$K$5</f>
        <v>46433.0</v>
      </c>
      <c r="I25" s="44">
        <f>$K$6</f>
        <v>46444.0</v>
      </c>
      <c r="J25" s="33"/>
      <c r="K25" s="33" t="s">
        <v>245</v>
      </c>
      <c r="L25" s="33"/>
      <c r="M25" s="45" t="str">
        <f>IF(L25="Compliant",1,IF(L25="Partially Compliant",0.5,IF(L25="Non-Compliant",0,"")))</f>
        <v/>
      </c>
      <c r="N25" s="33"/>
      <c r="O25" s="33"/>
      <c r="P25" s="33"/>
      <c r="Q25" s="31"/>
    </row>
    <row r="26" spans="8:8" ht="46.25">
      <c r="A26" s="30" t="s">
        <v>2433</v>
      </c>
      <c r="B26" s="30" t="s">
        <v>177</v>
      </c>
      <c r="C26" s="30" t="s">
        <v>178</v>
      </c>
      <c r="D26" s="30" t="s">
        <v>2434</v>
      </c>
      <c r="E26" s="30" t="s">
        <v>2435</v>
      </c>
      <c r="F26" s="30" t="s">
        <v>181</v>
      </c>
      <c r="G26" s="33" t="s">
        <v>30</v>
      </c>
      <c r="H26" s="44">
        <f>$K$5</f>
        <v>46433.0</v>
      </c>
      <c r="I26" s="44">
        <f>$K$6</f>
        <v>46444.0</v>
      </c>
      <c r="J26" s="33"/>
      <c r="K26" s="33" t="s">
        <v>245</v>
      </c>
      <c r="L26" s="33"/>
      <c r="M26" s="45" t="str">
        <f>IF(L26="Compliant",1,IF(L26="Partially Compliant",0.5,IF(L26="Non-Compliant",0,"")))</f>
        <v/>
      </c>
      <c r="N26" s="33"/>
      <c r="O26" s="33"/>
      <c r="P26" s="33"/>
      <c r="Q26" s="31"/>
    </row>
    <row r="27" spans="8:8" ht="35.05">
      <c r="A27" s="30" t="s">
        <v>2436</v>
      </c>
      <c r="B27" s="30" t="s">
        <v>182</v>
      </c>
      <c r="C27" s="30" t="s">
        <v>183</v>
      </c>
      <c r="D27" s="30" t="s">
        <v>184</v>
      </c>
      <c r="E27" s="30" t="s">
        <v>2437</v>
      </c>
      <c r="F27" s="30" t="s">
        <v>186</v>
      </c>
      <c r="G27" s="33" t="s">
        <v>30</v>
      </c>
      <c r="H27" s="44">
        <f>$K$5</f>
        <v>46433.0</v>
      </c>
      <c r="I27" s="44">
        <f>$K$6</f>
        <v>46444.0</v>
      </c>
      <c r="J27" s="33"/>
      <c r="K27" s="33" t="s">
        <v>245</v>
      </c>
      <c r="L27" s="33"/>
      <c r="M27" s="45" t="str">
        <f>IF(L27="Compliant",1,IF(L27="Partially Compliant",0.5,IF(L27="Non-Compliant",0,"")))</f>
        <v/>
      </c>
      <c r="N27" s="33"/>
      <c r="O27" s="33"/>
      <c r="P27" s="33"/>
      <c r="Q27" s="31"/>
    </row>
    <row r="28" spans="8:8" ht="35.05">
      <c r="A28" s="30" t="s">
        <v>2438</v>
      </c>
      <c r="B28" s="30" t="s">
        <v>187</v>
      </c>
      <c r="C28" s="30" t="s">
        <v>188</v>
      </c>
      <c r="D28" s="30" t="s">
        <v>189</v>
      </c>
      <c r="E28" s="30" t="s">
        <v>2439</v>
      </c>
      <c r="F28" s="30" t="s">
        <v>191</v>
      </c>
      <c r="G28" s="33" t="s">
        <v>30</v>
      </c>
      <c r="H28" s="44">
        <f>$K$5</f>
        <v>46433.0</v>
      </c>
      <c r="I28" s="44">
        <f>$K$6</f>
        <v>46444.0</v>
      </c>
      <c r="J28" s="33"/>
      <c r="K28" s="33" t="s">
        <v>245</v>
      </c>
      <c r="L28" s="33"/>
      <c r="M28" s="45" t="str">
        <f>IF(L28="Compliant",1,IF(L28="Partially Compliant",0.5,IF(L28="Non-Compliant",0,"")))</f>
        <v/>
      </c>
      <c r="N28" s="33"/>
      <c r="O28" s="33"/>
      <c r="P28" s="33"/>
      <c r="Q28" s="31"/>
    </row>
    <row r="29" spans="8:8" ht="35.05">
      <c r="A29" s="30" t="s">
        <v>2440</v>
      </c>
      <c r="B29" s="30" t="s">
        <v>192</v>
      </c>
      <c r="C29" s="30" t="s">
        <v>193</v>
      </c>
      <c r="D29" s="30" t="s">
        <v>194</v>
      </c>
      <c r="E29" s="30" t="s">
        <v>2441</v>
      </c>
      <c r="F29" s="30" t="s">
        <v>196</v>
      </c>
      <c r="G29" s="33" t="s">
        <v>30</v>
      </c>
      <c r="H29" s="44">
        <f>$K$5</f>
        <v>46433.0</v>
      </c>
      <c r="I29" s="44">
        <f>$K$6</f>
        <v>46444.0</v>
      </c>
      <c r="J29" s="33"/>
      <c r="K29" s="33" t="s">
        <v>245</v>
      </c>
      <c r="L29" s="33"/>
      <c r="M29" s="45" t="str">
        <f>IF(L29="Compliant",1,IF(L29="Partially Compliant",0.5,IF(L29="Non-Compliant",0,"")))</f>
        <v/>
      </c>
      <c r="N29" s="33"/>
      <c r="O29" s="33"/>
      <c r="P29" s="33"/>
      <c r="Q29" s="31"/>
    </row>
    <row r="30" spans="8:8" ht="35.05">
      <c r="A30" s="30" t="s">
        <v>2442</v>
      </c>
      <c r="B30" s="30" t="s">
        <v>197</v>
      </c>
      <c r="C30" s="30" t="s">
        <v>198</v>
      </c>
      <c r="D30" s="30" t="s">
        <v>199</v>
      </c>
      <c r="E30" s="30" t="s">
        <v>2443</v>
      </c>
      <c r="F30" s="30" t="s">
        <v>201</v>
      </c>
      <c r="G30" s="33" t="s">
        <v>30</v>
      </c>
      <c r="H30" s="44">
        <f>$K$5</f>
        <v>46433.0</v>
      </c>
      <c r="I30" s="44">
        <f>$K$6</f>
        <v>46444.0</v>
      </c>
      <c r="J30" s="33"/>
      <c r="K30" s="33" t="s">
        <v>245</v>
      </c>
      <c r="L30" s="33"/>
      <c r="M30" s="45" t="str">
        <f>IF(L30="Compliant",1,IF(L30="Partially Compliant",0.5,IF(L30="Non-Compliant",0,"")))</f>
        <v/>
      </c>
      <c r="N30" s="33"/>
      <c r="O30" s="33"/>
      <c r="P30" s="33"/>
      <c r="Q30" s="31"/>
    </row>
    <row r="31" spans="8:8" ht="35.05">
      <c r="A31" s="30" t="s">
        <v>2444</v>
      </c>
      <c r="B31" s="30" t="s">
        <v>202</v>
      </c>
      <c r="C31" s="30" t="s">
        <v>203</v>
      </c>
      <c r="D31" s="30" t="s">
        <v>204</v>
      </c>
      <c r="E31" s="30" t="s">
        <v>205</v>
      </c>
      <c r="F31" s="30" t="s">
        <v>206</v>
      </c>
      <c r="G31" s="33" t="s">
        <v>207</v>
      </c>
      <c r="H31" s="44">
        <f>$K$5</f>
        <v>46433.0</v>
      </c>
      <c r="I31" s="44">
        <f>$K$6</f>
        <v>46444.0</v>
      </c>
      <c r="J31" s="33"/>
      <c r="K31" s="33" t="s">
        <v>245</v>
      </c>
      <c r="L31" s="33"/>
      <c r="M31" s="45" t="str">
        <f>IF(L31="Compliant",1,IF(L31="Partially Compliant",0.5,IF(L31="Non-Compliant",0,"")))</f>
        <v/>
      </c>
      <c r="N31" s="33"/>
      <c r="O31" s="33"/>
      <c r="P31" s="33"/>
      <c r="Q31" s="31"/>
    </row>
    <row r="32" spans="8:8" ht="23.85">
      <c r="A32" s="30" t="s">
        <v>2445</v>
      </c>
      <c r="B32" s="30" t="s">
        <v>208</v>
      </c>
      <c r="C32" s="30" t="s">
        <v>209</v>
      </c>
      <c r="D32" s="30" t="s">
        <v>210</v>
      </c>
      <c r="E32" s="30" t="s">
        <v>2446</v>
      </c>
      <c r="F32" s="30" t="s">
        <v>212</v>
      </c>
      <c r="G32" s="33" t="s">
        <v>207</v>
      </c>
      <c r="H32" s="44">
        <f>$K$5</f>
        <v>46433.0</v>
      </c>
      <c r="I32" s="44">
        <f>$K$6</f>
        <v>46444.0</v>
      </c>
      <c r="J32" s="33"/>
      <c r="K32" s="33" t="s">
        <v>245</v>
      </c>
      <c r="L32" s="33"/>
      <c r="M32" s="45" t="str">
        <f>IF(L32="Compliant",1,IF(L32="Partially Compliant",0.5,IF(L32="Non-Compliant",0,"")))</f>
        <v/>
      </c>
      <c r="N32" s="33"/>
      <c r="O32" s="33"/>
      <c r="P32" s="33"/>
      <c r="Q32" s="31"/>
    </row>
    <row r="33" spans="8:8" ht="23.85">
      <c r="A33" s="30" t="s">
        <v>2447</v>
      </c>
      <c r="B33" s="30" t="s">
        <v>213</v>
      </c>
      <c r="C33" s="30" t="s">
        <v>214</v>
      </c>
      <c r="D33" s="30" t="s">
        <v>215</v>
      </c>
      <c r="E33" s="30" t="s">
        <v>2448</v>
      </c>
      <c r="F33" s="30" t="s">
        <v>217</v>
      </c>
      <c r="G33" s="33" t="s">
        <v>207</v>
      </c>
      <c r="H33" s="44">
        <f>$K$5</f>
        <v>46433.0</v>
      </c>
      <c r="I33" s="44">
        <f>$K$6</f>
        <v>46444.0</v>
      </c>
      <c r="J33" s="33"/>
      <c r="K33" s="33" t="s">
        <v>245</v>
      </c>
      <c r="L33" s="33"/>
      <c r="M33" s="45" t="str">
        <f>IF(L33="Compliant",1,IF(L33="Partially Compliant",0.5,IF(L33="Non-Compliant",0,"")))</f>
        <v/>
      </c>
      <c r="N33" s="33"/>
      <c r="O33" s="33"/>
      <c r="P33" s="33"/>
      <c r="Q33" s="31"/>
    </row>
    <row r="34" spans="8:8" ht="35.05">
      <c r="A34" s="30" t="s">
        <v>2449</v>
      </c>
      <c r="B34" s="30" t="s">
        <v>218</v>
      </c>
      <c r="C34" s="30" t="s">
        <v>219</v>
      </c>
      <c r="D34" s="30" t="s">
        <v>220</v>
      </c>
      <c r="E34" s="30" t="s">
        <v>2450</v>
      </c>
      <c r="F34" s="30" t="s">
        <v>222</v>
      </c>
      <c r="G34" s="33" t="s">
        <v>30</v>
      </c>
      <c r="H34" s="44">
        <f>$K$5</f>
        <v>46433.0</v>
      </c>
      <c r="I34" s="44">
        <f>$K$6</f>
        <v>46444.0</v>
      </c>
      <c r="J34" s="33"/>
      <c r="K34" s="33" t="s">
        <v>245</v>
      </c>
      <c r="L34" s="33"/>
      <c r="M34" s="45" t="str">
        <f>IF(L34="Compliant",1,IF(L34="Partially Compliant",0.5,IF(L34="Non-Compliant",0,"")))</f>
        <v/>
      </c>
      <c r="N34" s="33"/>
      <c r="O34" s="33"/>
      <c r="P34" s="33"/>
      <c r="Q34" s="31"/>
    </row>
    <row r="35" spans="8:8" ht="35.05">
      <c r="A35" s="30" t="s">
        <v>2451</v>
      </c>
      <c r="B35" s="30" t="s">
        <v>223</v>
      </c>
      <c r="C35" s="30" t="s">
        <v>224</v>
      </c>
      <c r="D35" s="30" t="s">
        <v>225</v>
      </c>
      <c r="E35" s="30" t="s">
        <v>2452</v>
      </c>
      <c r="F35" s="30" t="s">
        <v>227</v>
      </c>
      <c r="G35" s="33" t="s">
        <v>207</v>
      </c>
      <c r="H35" s="44">
        <f>$K$5</f>
        <v>46433.0</v>
      </c>
      <c r="I35" s="44">
        <f>$K$6</f>
        <v>46444.0</v>
      </c>
      <c r="J35" s="33"/>
      <c r="K35" s="33" t="s">
        <v>245</v>
      </c>
      <c r="L35" s="33"/>
      <c r="M35" s="45" t="str">
        <f>IF(L35="Compliant",1,IF(L35="Partially Compliant",0.5,IF(L35="Non-Compliant",0,"")))</f>
        <v/>
      </c>
      <c r="N35" s="33"/>
      <c r="O35" s="33"/>
      <c r="P35" s="33"/>
      <c r="Q35" s="31"/>
    </row>
    <row r="36" spans="8:8" ht="35.05">
      <c r="A36" s="30" t="s">
        <v>2453</v>
      </c>
      <c r="B36" s="30" t="s">
        <v>228</v>
      </c>
      <c r="C36" s="30" t="s">
        <v>229</v>
      </c>
      <c r="D36" s="30" t="s">
        <v>230</v>
      </c>
      <c r="E36" s="30" t="s">
        <v>2454</v>
      </c>
      <c r="F36" s="30" t="s">
        <v>232</v>
      </c>
      <c r="G36" s="33" t="s">
        <v>30</v>
      </c>
      <c r="H36" s="44">
        <f>$K$5</f>
        <v>46433.0</v>
      </c>
      <c r="I36" s="44">
        <f>$K$6</f>
        <v>46444.0</v>
      </c>
      <c r="J36" s="33"/>
      <c r="K36" s="33" t="s">
        <v>245</v>
      </c>
      <c r="L36" s="33"/>
      <c r="M36" s="45" t="str">
        <f>IF(L36="Compliant",1,IF(L36="Partially Compliant",0.5,IF(L36="Non-Compliant",0,"")))</f>
        <v/>
      </c>
      <c r="N36" s="33"/>
      <c r="O36" s="33"/>
      <c r="P36" s="33"/>
      <c r="Q36" s="31"/>
    </row>
    <row r="37" spans="8:8" ht="23.85">
      <c r="A37" s="30" t="s">
        <v>2455</v>
      </c>
      <c r="B37" s="43" t="s">
        <v>2456</v>
      </c>
      <c r="C37" s="30" t="s">
        <v>979</v>
      </c>
      <c r="D37" s="30" t="s">
        <v>2457</v>
      </c>
      <c r="E37" s="30" t="s">
        <v>2458</v>
      </c>
      <c r="F37" s="30" t="s">
        <v>2459</v>
      </c>
      <c r="G37" s="33" t="s">
        <v>30</v>
      </c>
      <c r="H37" s="44">
        <f>$K$5</f>
        <v>46433.0</v>
      </c>
      <c r="I37" s="44">
        <f>$K$6</f>
        <v>46444.0</v>
      </c>
      <c r="J37" s="33"/>
      <c r="K37" s="33" t="s">
        <v>245</v>
      </c>
      <c r="L37" s="33"/>
      <c r="M37" s="45" t="str">
        <f>IF(L37="Compliant",1,IF(L37="Partially Compliant",0.5,IF(L37="Non-Compliant",0,"")))</f>
        <v/>
      </c>
      <c r="N37" s="33"/>
      <c r="O37" s="33"/>
      <c r="P37" s="33"/>
      <c r="Q37" s="31"/>
    </row>
    <row r="38" spans="8:8" ht="23.85">
      <c r="A38" s="30" t="s">
        <v>2460</v>
      </c>
      <c r="B38" s="43" t="s">
        <v>2461</v>
      </c>
      <c r="C38" s="30" t="s">
        <v>1096</v>
      </c>
      <c r="D38" s="30" t="s">
        <v>2462</v>
      </c>
      <c r="E38" s="30" t="s">
        <v>2463</v>
      </c>
      <c r="F38" s="30" t="s">
        <v>2464</v>
      </c>
      <c r="G38" s="33" t="s">
        <v>146</v>
      </c>
      <c r="H38" s="44">
        <f>$K$5</f>
        <v>46433.0</v>
      </c>
      <c r="I38" s="44">
        <f>$K$6</f>
        <v>46444.0</v>
      </c>
      <c r="J38" s="33"/>
      <c r="K38" s="33" t="s">
        <v>245</v>
      </c>
      <c r="L38" s="33"/>
      <c r="M38" s="45" t="str">
        <f>IF(L38="Compliant",1,IF(L38="Partially Compliant",0.5,IF(L38="Non-Compliant",0,"")))</f>
        <v/>
      </c>
      <c r="N38" s="33"/>
      <c r="O38" s="33"/>
      <c r="P38" s="33"/>
      <c r="Q38" s="31"/>
    </row>
    <row r="40" spans="8:8" ht="15.0">
      <c r="A40" s="27" t="s">
        <v>439</v>
      </c>
    </row>
  </sheetData>
  <autoFilter ref="A14:Q38">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8">
    <cfRule type="cellIs" operator="equal" priority="3" dxfId="147">
      <formula>"Partially Compliant"</formula>
    </cfRule>
    <cfRule type="cellIs" operator="equal" priority="4" dxfId="148">
      <formula>"Non-Compliant"</formula>
    </cfRule>
    <cfRule type="cellIs" operator="equal" priority="2" dxfId="149">
      <formula>"Compliant"</formula>
    </cfRule>
  </conditionalFormatting>
  <conditionalFormatting sqref="G15:G38">
    <cfRule type="cellIs" operator="equal" priority="5" dxfId="150">
      <formula>"High"</formula>
    </cfRule>
  </conditionalFormatting>
  <dataValidations count="4">
    <dataValidation allowBlank="1" type="list" errorStyle="stop" sqref="G15:G38">
      <formula1>"High,Medium,Low"</formula1>
      <formula2>0</formula2>
    </dataValidation>
    <dataValidation allowBlank="1" type="list" errorStyle="stop" sqref="K15:K38">
      <formula1>"Not Started,In Progress,Fieldwork Done,Reported,Completed"</formula1>
      <formula2>0</formula2>
    </dataValidation>
    <dataValidation allowBlank="1" type="list" errorStyle="stop" sqref="L15:L38">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xl/worksheets/sheet42.xml><?xml version="1.0" encoding="utf-8"?>
<worksheet xmlns:r="http://schemas.openxmlformats.org/officeDocument/2006/relationships" xmlns="http://schemas.openxmlformats.org/spreadsheetml/2006/main">
  <sheetPr>
    <tabColor rgb="FFBF8F00"/>
    <pageSetUpPr fitToPage="1"/>
  </sheetPr>
  <dimension ref="A1:R41"/>
  <sheetViews>
    <sheetView tabSelected="1" workbookViewId="0" showGridLines="0" zoomScale="90">
      <pane xSplit="2" ySplit="14" topLeftCell="C15" state="frozen" activePane="bottomRight"/>
      <selection pane="bottomRight" activeCell="A1" sqref="A1"/>
    </sheetView>
  </sheetViews>
  <sheetFormatPr defaultRowHeight="15.0" zeroHeight="1"/>
  <cols>
    <col min="1" max="1" customWidth="1" width="11.0" style="0"/>
    <col min="2" max="2" customWidth="1" width="20.0" style="0"/>
    <col min="3" max="3" customWidth="1" width="19.0" style="0"/>
    <col min="4" max="4" customWidth="1" width="38.0" style="0"/>
    <col min="5" max="5" customWidth="1" width="50.0" style="0"/>
    <col min="6" max="6" customWidth="1" width="28.0" style="0"/>
    <col min="7" max="7" customWidth="1" width="9.0" style="0"/>
    <col min="8" max="9" customWidth="1" width="12.0" style="0"/>
    <col min="10" max="10" customWidth="1" width="13.0" style="0"/>
    <col min="11" max="11" customWidth="1" width="14.0" style="0"/>
    <col min="12" max="12" customWidth="1" width="17.0" style="0"/>
    <col min="13" max="13" customWidth="1" width="8.0" style="0"/>
    <col min="14" max="15" customWidth="1" width="32.0" style="0"/>
    <col min="16" max="16" customWidth="1" width="28.0" style="0"/>
    <col min="17" max="17" customWidth="1" width="12.0" style="0"/>
  </cols>
  <sheetData>
    <row r="1" spans="8:8" ht="17.35">
      <c r="A1" s="28" t="s">
        <v>2465</v>
      </c>
      <c r="N1" s="34" t="s">
        <v>277</v>
      </c>
    </row>
    <row r="2" spans="8:8" ht="15.0">
      <c r="A2" s="12" t="s">
        <v>278</v>
      </c>
    </row>
    <row r="4" spans="8:8" ht="15.75" customHeight="1">
      <c r="A4" s="35" t="s">
        <v>59</v>
      </c>
      <c r="B4" s="35"/>
      <c r="C4" s="36" t="s">
        <v>112</v>
      </c>
      <c r="D4" s="36"/>
      <c r="E4" s="36"/>
      <c r="F4" s="36"/>
      <c r="H4" s="35" t="s">
        <v>279</v>
      </c>
      <c r="I4" s="35"/>
      <c r="J4" s="35"/>
      <c r="K4" s="37" t="s">
        <v>280</v>
      </c>
    </row>
    <row r="5" spans="8:8" ht="15.75" customHeight="1">
      <c r="A5" s="35" t="s">
        <v>281</v>
      </c>
      <c r="B5" s="35"/>
      <c r="C5" s="36" t="s">
        <v>55</v>
      </c>
      <c r="D5" s="36"/>
      <c r="E5" s="36"/>
      <c r="F5" s="36"/>
      <c r="H5" s="35" t="s">
        <v>63</v>
      </c>
      <c r="I5" s="35"/>
      <c r="J5" s="35"/>
      <c r="K5" s="38">
        <v>46433.0</v>
      </c>
    </row>
    <row r="6" spans="8:8" ht="15.75" customHeight="1">
      <c r="A6" s="35" t="s">
        <v>282</v>
      </c>
      <c r="B6" s="35"/>
      <c r="C6" s="36" t="s">
        <v>85</v>
      </c>
      <c r="D6" s="36"/>
      <c r="E6" s="36"/>
      <c r="F6" s="36"/>
      <c r="H6" s="35" t="s">
        <v>283</v>
      </c>
      <c r="I6" s="35"/>
      <c r="J6" s="35"/>
      <c r="K6" s="38">
        <v>46444.0</v>
      </c>
    </row>
    <row r="7" spans="8:8" ht="15.75" customHeight="1">
      <c r="A7" s="35" t="s">
        <v>61</v>
      </c>
      <c r="B7" s="35"/>
      <c r="C7" s="39" t="s">
        <v>280</v>
      </c>
      <c r="D7" s="39"/>
      <c r="E7" s="39"/>
      <c r="F7" s="39"/>
      <c r="H7" s="35" t="s">
        <v>284</v>
      </c>
      <c r="I7" s="35"/>
      <c r="J7" s="35"/>
      <c r="K7" s="40">
        <f>COUNTA(A15:A39)</f>
        <v>25.0</v>
      </c>
    </row>
    <row r="8" spans="8:8" ht="15.75" customHeight="1">
      <c r="A8" s="35" t="s">
        <v>285</v>
      </c>
      <c r="B8" s="35"/>
      <c r="C8" s="36" t="s">
        <v>2466</v>
      </c>
      <c r="D8" s="36"/>
      <c r="E8" s="36"/>
      <c r="F8" s="36"/>
      <c r="H8" s="35" t="s">
        <v>34</v>
      </c>
      <c r="I8" s="35"/>
      <c r="J8" s="35"/>
      <c r="K8" s="40">
        <f>COUNTIF(K15:K39,"Completed")</f>
        <v>0.0</v>
      </c>
    </row>
    <row r="9" spans="8:8" ht="15.75" customHeight="1">
      <c r="A9" s="35" t="s">
        <v>287</v>
      </c>
      <c r="B9" s="35"/>
      <c r="C9" s="36" t="s">
        <v>2467</v>
      </c>
      <c r="D9" s="36"/>
      <c r="E9" s="36"/>
      <c r="F9" s="36"/>
      <c r="H9" s="35" t="s">
        <v>64</v>
      </c>
      <c r="I9" s="35"/>
      <c r="J9" s="35"/>
      <c r="K9" s="40">
        <f>COUNTIF(L15:L39,"Compliant")</f>
        <v>0.0</v>
      </c>
    </row>
    <row r="10" spans="8:8" ht="15.75" customHeight="1">
      <c r="A10" s="35" t="s">
        <v>289</v>
      </c>
      <c r="B10" s="35"/>
      <c r="C10" s="36" t="s">
        <v>2468</v>
      </c>
      <c r="D10" s="36"/>
      <c r="E10" s="36"/>
      <c r="F10" s="36"/>
      <c r="H10" s="35" t="s">
        <v>36</v>
      </c>
      <c r="I10" s="35"/>
      <c r="J10" s="35"/>
      <c r="K10" s="40">
        <f>COUNTIF(L15:L39,"Partially Compliant")</f>
        <v>0.0</v>
      </c>
    </row>
    <row r="11" spans="8:8" ht="15.75" customHeight="1">
      <c r="A11" s="35" t="s">
        <v>291</v>
      </c>
      <c r="B11" s="35"/>
      <c r="C11" s="39" t="s">
        <v>30</v>
      </c>
      <c r="D11" s="39"/>
      <c r="E11" s="39"/>
      <c r="F11" s="39"/>
      <c r="H11" s="35" t="s">
        <v>49</v>
      </c>
      <c r="I11" s="35"/>
      <c r="J11" s="35"/>
      <c r="K11" s="40">
        <f>COUNTIF(L15:L39,"Non-Compliant")</f>
        <v>0.0</v>
      </c>
    </row>
    <row r="12" spans="8:8" ht="15.0">
      <c r="H12" s="35" t="s">
        <v>292</v>
      </c>
      <c r="I12" s="35"/>
      <c r="J12" s="35"/>
      <c r="K12" s="40">
        <f>COUNTIF(L15:L39,"Not Applicable")</f>
        <v>0.0</v>
      </c>
    </row>
    <row r="13" spans="8:8" ht="15.0">
      <c r="H13" s="35" t="s">
        <v>293</v>
      </c>
      <c r="I13" s="35"/>
      <c r="J13" s="35"/>
      <c r="K13" s="41" t="str">
        <f>_xlfn.IFERROR(AVERAGE(M15:M39),"")</f>
        <v/>
      </c>
    </row>
    <row r="14" spans="8:8" ht="30.0" customHeight="1">
      <c r="A14" s="13" t="s">
        <v>25</v>
      </c>
      <c r="B14" s="13" t="s">
        <v>27</v>
      </c>
      <c r="C14" s="13" t="s">
        <v>117</v>
      </c>
      <c r="D14" s="13" t="s">
        <v>118</v>
      </c>
      <c r="E14" s="13" t="s">
        <v>294</v>
      </c>
      <c r="F14" s="13" t="s">
        <v>295</v>
      </c>
      <c r="G14" s="42" t="s">
        <v>29</v>
      </c>
      <c r="H14" s="42" t="s">
        <v>63</v>
      </c>
      <c r="I14" s="42" t="s">
        <v>283</v>
      </c>
      <c r="J14" s="42" t="s">
        <v>31</v>
      </c>
      <c r="K14" s="42" t="s">
        <v>33</v>
      </c>
      <c r="L14" s="42" t="s">
        <v>35</v>
      </c>
      <c r="M14" s="42" t="s">
        <v>66</v>
      </c>
      <c r="N14" s="42" t="s">
        <v>37</v>
      </c>
      <c r="O14" s="42" t="s">
        <v>39</v>
      </c>
      <c r="P14" s="42" t="s">
        <v>296</v>
      </c>
      <c r="Q14" s="42" t="s">
        <v>297</v>
      </c>
    </row>
    <row r="15" spans="8:8" ht="68.65">
      <c r="A15" s="30" t="s">
        <v>2469</v>
      </c>
      <c r="B15" s="30" t="s">
        <v>122</v>
      </c>
      <c r="C15" s="30" t="s">
        <v>123</v>
      </c>
      <c r="D15" s="30" t="s">
        <v>124</v>
      </c>
      <c r="E15" s="30" t="s">
        <v>2470</v>
      </c>
      <c r="F15" s="30" t="s">
        <v>126</v>
      </c>
      <c r="G15" s="33" t="s">
        <v>30</v>
      </c>
      <c r="H15" s="44">
        <f>$K$5</f>
        <v>46433.0</v>
      </c>
      <c r="I15" s="44">
        <f>$K$6</f>
        <v>46444.0</v>
      </c>
      <c r="J15" s="33"/>
      <c r="K15" s="33" t="s">
        <v>245</v>
      </c>
      <c r="L15" s="33"/>
      <c r="M15" s="45" t="str">
        <f>IF(L15="Compliant",1,IF(L15="Partially Compliant",0.5,IF(L15="Non-Compliant",0,"")))</f>
        <v/>
      </c>
      <c r="N15" s="33"/>
      <c r="O15" s="33"/>
      <c r="P15" s="33"/>
      <c r="Q15" s="31"/>
    </row>
    <row r="16" spans="8:8" ht="35.05">
      <c r="A16" s="30" t="s">
        <v>2471</v>
      </c>
      <c r="B16" s="30" t="s">
        <v>127</v>
      </c>
      <c r="C16" s="30" t="s">
        <v>128</v>
      </c>
      <c r="D16" s="30" t="s">
        <v>129</v>
      </c>
      <c r="E16" s="30" t="s">
        <v>2472</v>
      </c>
      <c r="F16" s="30" t="s">
        <v>131</v>
      </c>
      <c r="G16" s="33" t="s">
        <v>30</v>
      </c>
      <c r="H16" s="44">
        <f>$K$5</f>
        <v>46433.0</v>
      </c>
      <c r="I16" s="44">
        <f>$K$6</f>
        <v>46444.0</v>
      </c>
      <c r="J16" s="33"/>
      <c r="K16" s="33" t="s">
        <v>245</v>
      </c>
      <c r="L16" s="33"/>
      <c r="M16" s="45" t="str">
        <f>IF(L16="Compliant",1,IF(L16="Partially Compliant",0.5,IF(L16="Non-Compliant",0,"")))</f>
        <v/>
      </c>
      <c r="N16" s="33"/>
      <c r="O16" s="33"/>
      <c r="P16" s="33"/>
      <c r="Q16" s="31"/>
    </row>
    <row r="17" spans="8:8" ht="35.05">
      <c r="A17" s="30" t="s">
        <v>2473</v>
      </c>
      <c r="B17" s="30" t="s">
        <v>132</v>
      </c>
      <c r="C17" s="30" t="s">
        <v>133</v>
      </c>
      <c r="D17" s="30" t="s">
        <v>134</v>
      </c>
      <c r="E17" s="30" t="s">
        <v>135</v>
      </c>
      <c r="F17" s="30" t="s">
        <v>136</v>
      </c>
      <c r="G17" s="33" t="s">
        <v>30</v>
      </c>
      <c r="H17" s="44">
        <f>$K$5</f>
        <v>46433.0</v>
      </c>
      <c r="I17" s="44">
        <f>$K$6</f>
        <v>46444.0</v>
      </c>
      <c r="J17" s="33"/>
      <c r="K17" s="33" t="s">
        <v>245</v>
      </c>
      <c r="L17" s="33"/>
      <c r="M17" s="45" t="str">
        <f>IF(L17="Compliant",1,IF(L17="Partially Compliant",0.5,IF(L17="Non-Compliant",0,"")))</f>
        <v/>
      </c>
      <c r="N17" s="33"/>
      <c r="O17" s="33"/>
      <c r="P17" s="33"/>
      <c r="Q17" s="31"/>
    </row>
    <row r="18" spans="8:8" ht="57.45">
      <c r="A18" s="30" t="s">
        <v>2474</v>
      </c>
      <c r="B18" s="30" t="s">
        <v>28</v>
      </c>
      <c r="C18" s="30" t="s">
        <v>137</v>
      </c>
      <c r="D18" s="30" t="s">
        <v>138</v>
      </c>
      <c r="E18" s="30" t="s">
        <v>2475</v>
      </c>
      <c r="F18" s="30" t="s">
        <v>140</v>
      </c>
      <c r="G18" s="33" t="s">
        <v>30</v>
      </c>
      <c r="H18" s="44">
        <f>$K$5</f>
        <v>46433.0</v>
      </c>
      <c r="I18" s="44">
        <f>$K$6</f>
        <v>46444.0</v>
      </c>
      <c r="J18" s="33"/>
      <c r="K18" s="33" t="s">
        <v>245</v>
      </c>
      <c r="L18" s="33"/>
      <c r="M18" s="45" t="str">
        <f>IF(L18="Compliant",1,IF(L18="Partially Compliant",0.5,IF(L18="Non-Compliant",0,"")))</f>
        <v/>
      </c>
      <c r="N18" s="33"/>
      <c r="O18" s="33"/>
      <c r="P18" s="33"/>
      <c r="Q18" s="31"/>
    </row>
    <row r="19" spans="8:8" ht="35.05">
      <c r="A19" s="30" t="s">
        <v>2476</v>
      </c>
      <c r="B19" s="30" t="s">
        <v>141</v>
      </c>
      <c r="C19" s="30" t="s">
        <v>142</v>
      </c>
      <c r="D19" s="30" t="s">
        <v>143</v>
      </c>
      <c r="E19" s="30" t="s">
        <v>2477</v>
      </c>
      <c r="F19" s="30" t="s">
        <v>145</v>
      </c>
      <c r="G19" s="33" t="s">
        <v>30</v>
      </c>
      <c r="H19" s="44">
        <f>$K$5</f>
        <v>46433.0</v>
      </c>
      <c r="I19" s="44">
        <f>$K$6</f>
        <v>46444.0</v>
      </c>
      <c r="J19" s="33"/>
      <c r="K19" s="33" t="s">
        <v>245</v>
      </c>
      <c r="L19" s="33"/>
      <c r="M19" s="45" t="str">
        <f>IF(L19="Compliant",1,IF(L19="Partially Compliant",0.5,IF(L19="Non-Compliant",0,"")))</f>
        <v/>
      </c>
      <c r="N19" s="33"/>
      <c r="O19" s="33"/>
      <c r="P19" s="33"/>
      <c r="Q19" s="31"/>
    </row>
    <row r="20" spans="8:8" ht="57.45">
      <c r="A20" s="30" t="s">
        <v>2478</v>
      </c>
      <c r="B20" s="30" t="s">
        <v>147</v>
      </c>
      <c r="C20" s="30" t="s">
        <v>148</v>
      </c>
      <c r="D20" s="30" t="s">
        <v>149</v>
      </c>
      <c r="E20" s="30" t="s">
        <v>2479</v>
      </c>
      <c r="F20" s="30" t="s">
        <v>151</v>
      </c>
      <c r="G20" s="33" t="s">
        <v>30</v>
      </c>
      <c r="H20" s="44">
        <f>$K$5</f>
        <v>46433.0</v>
      </c>
      <c r="I20" s="44">
        <f>$K$6</f>
        <v>46444.0</v>
      </c>
      <c r="J20" s="33"/>
      <c r="K20" s="33" t="s">
        <v>245</v>
      </c>
      <c r="L20" s="33"/>
      <c r="M20" s="45" t="str">
        <f>IF(L20="Compliant",1,IF(L20="Partially Compliant",0.5,IF(L20="Non-Compliant",0,"")))</f>
        <v/>
      </c>
      <c r="N20" s="33"/>
      <c r="O20" s="33"/>
      <c r="P20" s="33"/>
      <c r="Q20" s="31"/>
    </row>
    <row r="21" spans="8:8" ht="35.05">
      <c r="A21" s="30" t="s">
        <v>2480</v>
      </c>
      <c r="B21" s="30" t="s">
        <v>152</v>
      </c>
      <c r="C21" s="30" t="s">
        <v>153</v>
      </c>
      <c r="D21" s="30" t="s">
        <v>154</v>
      </c>
      <c r="E21" s="30" t="s">
        <v>155</v>
      </c>
      <c r="F21" s="30" t="s">
        <v>156</v>
      </c>
      <c r="G21" s="33" t="s">
        <v>30</v>
      </c>
      <c r="H21" s="44">
        <f>$K$5</f>
        <v>46433.0</v>
      </c>
      <c r="I21" s="44">
        <f>$K$6</f>
        <v>46444.0</v>
      </c>
      <c r="J21" s="33"/>
      <c r="K21" s="33" t="s">
        <v>245</v>
      </c>
      <c r="L21" s="33"/>
      <c r="M21" s="45" t="str">
        <f>IF(L21="Compliant",1,IF(L21="Partially Compliant",0.5,IF(L21="Non-Compliant",0,"")))</f>
        <v/>
      </c>
      <c r="N21" s="33"/>
      <c r="O21" s="33"/>
      <c r="P21" s="33"/>
      <c r="Q21" s="31"/>
    </row>
    <row r="22" spans="8:8" ht="35.05">
      <c r="A22" s="30" t="s">
        <v>2481</v>
      </c>
      <c r="B22" s="30" t="s">
        <v>157</v>
      </c>
      <c r="C22" s="30" t="s">
        <v>158</v>
      </c>
      <c r="D22" s="30" t="s">
        <v>159</v>
      </c>
      <c r="E22" s="30" t="s">
        <v>160</v>
      </c>
      <c r="F22" s="30" t="s">
        <v>161</v>
      </c>
      <c r="G22" s="33" t="s">
        <v>30</v>
      </c>
      <c r="H22" s="44">
        <f>$K$5</f>
        <v>46433.0</v>
      </c>
      <c r="I22" s="44">
        <f>$K$6</f>
        <v>46444.0</v>
      </c>
      <c r="J22" s="33"/>
      <c r="K22" s="33" t="s">
        <v>245</v>
      </c>
      <c r="L22" s="33"/>
      <c r="M22" s="45" t="str">
        <f>IF(L22="Compliant",1,IF(L22="Partially Compliant",0.5,IF(L22="Non-Compliant",0,"")))</f>
        <v/>
      </c>
      <c r="N22" s="33"/>
      <c r="O22" s="33"/>
      <c r="P22" s="33"/>
      <c r="Q22" s="31"/>
    </row>
    <row r="23" spans="8:8" ht="35.05">
      <c r="A23" s="30" t="s">
        <v>2482</v>
      </c>
      <c r="B23" s="30" t="s">
        <v>162</v>
      </c>
      <c r="C23" s="30" t="s">
        <v>163</v>
      </c>
      <c r="D23" s="30" t="s">
        <v>164</v>
      </c>
      <c r="E23" s="30" t="s">
        <v>2483</v>
      </c>
      <c r="F23" s="30" t="s">
        <v>166</v>
      </c>
      <c r="G23" s="33" t="s">
        <v>30</v>
      </c>
      <c r="H23" s="44">
        <f>$K$5</f>
        <v>46433.0</v>
      </c>
      <c r="I23" s="44">
        <f>$K$6</f>
        <v>46444.0</v>
      </c>
      <c r="J23" s="33"/>
      <c r="K23" s="33" t="s">
        <v>245</v>
      </c>
      <c r="L23" s="33"/>
      <c r="M23" s="45" t="str">
        <f>IF(L23="Compliant",1,IF(L23="Partially Compliant",0.5,IF(L23="Non-Compliant",0,"")))</f>
        <v/>
      </c>
      <c r="N23" s="33"/>
      <c r="O23" s="33"/>
      <c r="P23" s="33"/>
      <c r="Q23" s="31"/>
    </row>
    <row r="24" spans="8:8" ht="35.05">
      <c r="A24" s="30" t="s">
        <v>2484</v>
      </c>
      <c r="B24" s="30" t="s">
        <v>167</v>
      </c>
      <c r="C24" s="30" t="s">
        <v>168</v>
      </c>
      <c r="D24" s="30" t="s">
        <v>169</v>
      </c>
      <c r="E24" s="30" t="s">
        <v>2485</v>
      </c>
      <c r="F24" s="30" t="s">
        <v>171</v>
      </c>
      <c r="G24" s="33" t="s">
        <v>30</v>
      </c>
      <c r="H24" s="44">
        <f>$K$5</f>
        <v>46433.0</v>
      </c>
      <c r="I24" s="44">
        <f>$K$6</f>
        <v>46444.0</v>
      </c>
      <c r="J24" s="33"/>
      <c r="K24" s="33" t="s">
        <v>245</v>
      </c>
      <c r="L24" s="33"/>
      <c r="M24" s="45" t="str">
        <f>IF(L24="Compliant",1,IF(L24="Partially Compliant",0.5,IF(L24="Non-Compliant",0,"")))</f>
        <v/>
      </c>
      <c r="N24" s="33"/>
      <c r="O24" s="33"/>
      <c r="P24" s="33"/>
      <c r="Q24" s="31"/>
    </row>
    <row r="25" spans="8:8" ht="35.05">
      <c r="A25" s="30" t="s">
        <v>2486</v>
      </c>
      <c r="B25" s="30" t="s">
        <v>172</v>
      </c>
      <c r="C25" s="30" t="s">
        <v>173</v>
      </c>
      <c r="D25" s="30" t="s">
        <v>174</v>
      </c>
      <c r="E25" s="30" t="s">
        <v>175</v>
      </c>
      <c r="F25" s="30" t="s">
        <v>176</v>
      </c>
      <c r="G25" s="33" t="s">
        <v>30</v>
      </c>
      <c r="H25" s="44">
        <f>$K$5</f>
        <v>46433.0</v>
      </c>
      <c r="I25" s="44">
        <f>$K$6</f>
        <v>46444.0</v>
      </c>
      <c r="J25" s="33"/>
      <c r="K25" s="33" t="s">
        <v>245</v>
      </c>
      <c r="L25" s="33"/>
      <c r="M25" s="45" t="str">
        <f>IF(L25="Compliant",1,IF(L25="Partially Compliant",0.5,IF(L25="Non-Compliant",0,"")))</f>
        <v/>
      </c>
      <c r="N25" s="33"/>
      <c r="O25" s="33"/>
      <c r="P25" s="33"/>
      <c r="Q25" s="31"/>
    </row>
    <row r="26" spans="8:8" ht="46.25">
      <c r="A26" s="30" t="s">
        <v>2487</v>
      </c>
      <c r="B26" s="30" t="s">
        <v>177</v>
      </c>
      <c r="C26" s="30" t="s">
        <v>178</v>
      </c>
      <c r="D26" s="30" t="s">
        <v>2488</v>
      </c>
      <c r="E26" s="30" t="s">
        <v>2489</v>
      </c>
      <c r="F26" s="30" t="s">
        <v>181</v>
      </c>
      <c r="G26" s="33" t="s">
        <v>30</v>
      </c>
      <c r="H26" s="44">
        <f>$K$5</f>
        <v>46433.0</v>
      </c>
      <c r="I26" s="44">
        <f>$K$6</f>
        <v>46444.0</v>
      </c>
      <c r="J26" s="33"/>
      <c r="K26" s="33" t="s">
        <v>245</v>
      </c>
      <c r="L26" s="33"/>
      <c r="M26" s="45" t="str">
        <f>IF(L26="Compliant",1,IF(L26="Partially Compliant",0.5,IF(L26="Non-Compliant",0,"")))</f>
        <v/>
      </c>
      <c r="N26" s="33"/>
      <c r="O26" s="33"/>
      <c r="P26" s="33"/>
      <c r="Q26" s="31"/>
    </row>
    <row r="27" spans="8:8" ht="35.05">
      <c r="A27" s="30" t="s">
        <v>2490</v>
      </c>
      <c r="B27" s="30" t="s">
        <v>182</v>
      </c>
      <c r="C27" s="30" t="s">
        <v>183</v>
      </c>
      <c r="D27" s="30" t="s">
        <v>184</v>
      </c>
      <c r="E27" s="30" t="s">
        <v>2491</v>
      </c>
      <c r="F27" s="30" t="s">
        <v>186</v>
      </c>
      <c r="G27" s="33" t="s">
        <v>30</v>
      </c>
      <c r="H27" s="44">
        <f>$K$5</f>
        <v>46433.0</v>
      </c>
      <c r="I27" s="44">
        <f>$K$6</f>
        <v>46444.0</v>
      </c>
      <c r="J27" s="33"/>
      <c r="K27" s="33" t="s">
        <v>245</v>
      </c>
      <c r="L27" s="33"/>
      <c r="M27" s="45" t="str">
        <f>IF(L27="Compliant",1,IF(L27="Partially Compliant",0.5,IF(L27="Non-Compliant",0,"")))</f>
        <v/>
      </c>
      <c r="N27" s="33"/>
      <c r="O27" s="33"/>
      <c r="P27" s="33"/>
      <c r="Q27" s="31"/>
    </row>
    <row r="28" spans="8:8" ht="35.05">
      <c r="A28" s="30" t="s">
        <v>2492</v>
      </c>
      <c r="B28" s="30" t="s">
        <v>187</v>
      </c>
      <c r="C28" s="30" t="s">
        <v>188</v>
      </c>
      <c r="D28" s="30" t="s">
        <v>189</v>
      </c>
      <c r="E28" s="30" t="s">
        <v>2493</v>
      </c>
      <c r="F28" s="30" t="s">
        <v>191</v>
      </c>
      <c r="G28" s="33" t="s">
        <v>30</v>
      </c>
      <c r="H28" s="44">
        <f>$K$5</f>
        <v>46433.0</v>
      </c>
      <c r="I28" s="44">
        <f>$K$6</f>
        <v>46444.0</v>
      </c>
      <c r="J28" s="33"/>
      <c r="K28" s="33" t="s">
        <v>245</v>
      </c>
      <c r="L28" s="33"/>
      <c r="M28" s="45" t="str">
        <f>IF(L28="Compliant",1,IF(L28="Partially Compliant",0.5,IF(L28="Non-Compliant",0,"")))</f>
        <v/>
      </c>
      <c r="N28" s="33"/>
      <c r="O28" s="33"/>
      <c r="P28" s="33"/>
      <c r="Q28" s="31"/>
    </row>
    <row r="29" spans="8:8" ht="35.05">
      <c r="A29" s="30" t="s">
        <v>2494</v>
      </c>
      <c r="B29" s="30" t="s">
        <v>192</v>
      </c>
      <c r="C29" s="30" t="s">
        <v>193</v>
      </c>
      <c r="D29" s="30" t="s">
        <v>194</v>
      </c>
      <c r="E29" s="30" t="s">
        <v>2495</v>
      </c>
      <c r="F29" s="30" t="s">
        <v>196</v>
      </c>
      <c r="G29" s="33" t="s">
        <v>30</v>
      </c>
      <c r="H29" s="44">
        <f>$K$5</f>
        <v>46433.0</v>
      </c>
      <c r="I29" s="44">
        <f>$K$6</f>
        <v>46444.0</v>
      </c>
      <c r="J29" s="33"/>
      <c r="K29" s="33" t="s">
        <v>245</v>
      </c>
      <c r="L29" s="33"/>
      <c r="M29" s="45" t="str">
        <f>IF(L29="Compliant",1,IF(L29="Partially Compliant",0.5,IF(L29="Non-Compliant",0,"")))</f>
        <v/>
      </c>
      <c r="N29" s="33"/>
      <c r="O29" s="33"/>
      <c r="P29" s="33"/>
      <c r="Q29" s="31"/>
    </row>
    <row r="30" spans="8:8" ht="35.05">
      <c r="A30" s="30" t="s">
        <v>2496</v>
      </c>
      <c r="B30" s="30" t="s">
        <v>197</v>
      </c>
      <c r="C30" s="30" t="s">
        <v>198</v>
      </c>
      <c r="D30" s="30" t="s">
        <v>199</v>
      </c>
      <c r="E30" s="30" t="s">
        <v>2497</v>
      </c>
      <c r="F30" s="30" t="s">
        <v>201</v>
      </c>
      <c r="G30" s="33" t="s">
        <v>30</v>
      </c>
      <c r="H30" s="44">
        <f>$K$5</f>
        <v>46433.0</v>
      </c>
      <c r="I30" s="44">
        <f>$K$6</f>
        <v>46444.0</v>
      </c>
      <c r="J30" s="33"/>
      <c r="K30" s="33" t="s">
        <v>245</v>
      </c>
      <c r="L30" s="33"/>
      <c r="M30" s="45" t="str">
        <f>IF(L30="Compliant",1,IF(L30="Partially Compliant",0.5,IF(L30="Non-Compliant",0,"")))</f>
        <v/>
      </c>
      <c r="N30" s="33"/>
      <c r="O30" s="33"/>
      <c r="P30" s="33"/>
      <c r="Q30" s="31"/>
    </row>
    <row r="31" spans="8:8" ht="35.05">
      <c r="A31" s="30" t="s">
        <v>2498</v>
      </c>
      <c r="B31" s="30" t="s">
        <v>202</v>
      </c>
      <c r="C31" s="30" t="s">
        <v>203</v>
      </c>
      <c r="D31" s="30" t="s">
        <v>204</v>
      </c>
      <c r="E31" s="30" t="s">
        <v>205</v>
      </c>
      <c r="F31" s="30" t="s">
        <v>206</v>
      </c>
      <c r="G31" s="33" t="s">
        <v>207</v>
      </c>
      <c r="H31" s="44">
        <f>$K$5</f>
        <v>46433.0</v>
      </c>
      <c r="I31" s="44">
        <f>$K$6</f>
        <v>46444.0</v>
      </c>
      <c r="J31" s="33"/>
      <c r="K31" s="33" t="s">
        <v>245</v>
      </c>
      <c r="L31" s="33"/>
      <c r="M31" s="45" t="str">
        <f>IF(L31="Compliant",1,IF(L31="Partially Compliant",0.5,IF(L31="Non-Compliant",0,"")))</f>
        <v/>
      </c>
      <c r="N31" s="33"/>
      <c r="O31" s="33"/>
      <c r="P31" s="33"/>
      <c r="Q31" s="31"/>
    </row>
    <row r="32" spans="8:8" ht="23.85">
      <c r="A32" s="30" t="s">
        <v>2499</v>
      </c>
      <c r="B32" s="30" t="s">
        <v>208</v>
      </c>
      <c r="C32" s="30" t="s">
        <v>209</v>
      </c>
      <c r="D32" s="30" t="s">
        <v>210</v>
      </c>
      <c r="E32" s="30" t="s">
        <v>2500</v>
      </c>
      <c r="F32" s="30" t="s">
        <v>212</v>
      </c>
      <c r="G32" s="33" t="s">
        <v>207</v>
      </c>
      <c r="H32" s="44">
        <f>$K$5</f>
        <v>46433.0</v>
      </c>
      <c r="I32" s="44">
        <f>$K$6</f>
        <v>46444.0</v>
      </c>
      <c r="J32" s="33"/>
      <c r="K32" s="33" t="s">
        <v>245</v>
      </c>
      <c r="L32" s="33"/>
      <c r="M32" s="45" t="str">
        <f>IF(L32="Compliant",1,IF(L32="Partially Compliant",0.5,IF(L32="Non-Compliant",0,"")))</f>
        <v/>
      </c>
      <c r="N32" s="33"/>
      <c r="O32" s="33"/>
      <c r="P32" s="33"/>
      <c r="Q32" s="31"/>
    </row>
    <row r="33" spans="8:8" ht="23.85">
      <c r="A33" s="30" t="s">
        <v>2501</v>
      </c>
      <c r="B33" s="30" t="s">
        <v>213</v>
      </c>
      <c r="C33" s="30" t="s">
        <v>214</v>
      </c>
      <c r="D33" s="30" t="s">
        <v>215</v>
      </c>
      <c r="E33" s="30" t="s">
        <v>2502</v>
      </c>
      <c r="F33" s="30" t="s">
        <v>217</v>
      </c>
      <c r="G33" s="33" t="s">
        <v>207</v>
      </c>
      <c r="H33" s="44">
        <f>$K$5</f>
        <v>46433.0</v>
      </c>
      <c r="I33" s="44">
        <f>$K$6</f>
        <v>46444.0</v>
      </c>
      <c r="J33" s="33"/>
      <c r="K33" s="33" t="s">
        <v>245</v>
      </c>
      <c r="L33" s="33"/>
      <c r="M33" s="45" t="str">
        <f>IF(L33="Compliant",1,IF(L33="Partially Compliant",0.5,IF(L33="Non-Compliant",0,"")))</f>
        <v/>
      </c>
      <c r="N33" s="33"/>
      <c r="O33" s="33"/>
      <c r="P33" s="33"/>
      <c r="Q33" s="31"/>
    </row>
    <row r="34" spans="8:8" ht="35.05">
      <c r="A34" s="30" t="s">
        <v>2503</v>
      </c>
      <c r="B34" s="30" t="s">
        <v>218</v>
      </c>
      <c r="C34" s="30" t="s">
        <v>219</v>
      </c>
      <c r="D34" s="30" t="s">
        <v>220</v>
      </c>
      <c r="E34" s="30" t="s">
        <v>2504</v>
      </c>
      <c r="F34" s="30" t="s">
        <v>222</v>
      </c>
      <c r="G34" s="33" t="s">
        <v>30</v>
      </c>
      <c r="H34" s="44">
        <f>$K$5</f>
        <v>46433.0</v>
      </c>
      <c r="I34" s="44">
        <f>$K$6</f>
        <v>46444.0</v>
      </c>
      <c r="J34" s="33"/>
      <c r="K34" s="33" t="s">
        <v>245</v>
      </c>
      <c r="L34" s="33"/>
      <c r="M34" s="45" t="str">
        <f>IF(L34="Compliant",1,IF(L34="Partially Compliant",0.5,IF(L34="Non-Compliant",0,"")))</f>
        <v/>
      </c>
      <c r="N34" s="33"/>
      <c r="O34" s="33"/>
      <c r="P34" s="33"/>
      <c r="Q34" s="31"/>
    </row>
    <row r="35" spans="8:8" ht="35.05">
      <c r="A35" s="30" t="s">
        <v>2505</v>
      </c>
      <c r="B35" s="30" t="s">
        <v>223</v>
      </c>
      <c r="C35" s="30" t="s">
        <v>224</v>
      </c>
      <c r="D35" s="30" t="s">
        <v>225</v>
      </c>
      <c r="E35" s="30" t="s">
        <v>2506</v>
      </c>
      <c r="F35" s="30" t="s">
        <v>227</v>
      </c>
      <c r="G35" s="33" t="s">
        <v>207</v>
      </c>
      <c r="H35" s="44">
        <f>$K$5</f>
        <v>46433.0</v>
      </c>
      <c r="I35" s="44">
        <f>$K$6</f>
        <v>46444.0</v>
      </c>
      <c r="J35" s="33"/>
      <c r="K35" s="33" t="s">
        <v>245</v>
      </c>
      <c r="L35" s="33"/>
      <c r="M35" s="45" t="str">
        <f>IF(L35="Compliant",1,IF(L35="Partially Compliant",0.5,IF(L35="Non-Compliant",0,"")))</f>
        <v/>
      </c>
      <c r="N35" s="33"/>
      <c r="O35" s="33"/>
      <c r="P35" s="33"/>
      <c r="Q35" s="31"/>
    </row>
    <row r="36" spans="8:8" ht="35.05">
      <c r="A36" s="30" t="s">
        <v>2507</v>
      </c>
      <c r="B36" s="30" t="s">
        <v>228</v>
      </c>
      <c r="C36" s="30" t="s">
        <v>229</v>
      </c>
      <c r="D36" s="30" t="s">
        <v>230</v>
      </c>
      <c r="E36" s="30" t="s">
        <v>2508</v>
      </c>
      <c r="F36" s="30" t="s">
        <v>232</v>
      </c>
      <c r="G36" s="33" t="s">
        <v>30</v>
      </c>
      <c r="H36" s="44">
        <f>$K$5</f>
        <v>46433.0</v>
      </c>
      <c r="I36" s="44">
        <f>$K$6</f>
        <v>46444.0</v>
      </c>
      <c r="J36" s="33"/>
      <c r="K36" s="33" t="s">
        <v>245</v>
      </c>
      <c r="L36" s="33"/>
      <c r="M36" s="45" t="str">
        <f>IF(L36="Compliant",1,IF(L36="Partially Compliant",0.5,IF(L36="Non-Compliant",0,"")))</f>
        <v/>
      </c>
      <c r="N36" s="33"/>
      <c r="O36" s="33"/>
      <c r="P36" s="33"/>
      <c r="Q36" s="31"/>
    </row>
    <row r="37" spans="8:8" ht="23.85">
      <c r="A37" s="30" t="s">
        <v>2509</v>
      </c>
      <c r="B37" s="43" t="s">
        <v>2510</v>
      </c>
      <c r="C37" s="30" t="s">
        <v>2511</v>
      </c>
      <c r="D37" s="30" t="s">
        <v>2512</v>
      </c>
      <c r="E37" s="30" t="s">
        <v>2513</v>
      </c>
      <c r="F37" s="30" t="s">
        <v>2514</v>
      </c>
      <c r="G37" s="33" t="s">
        <v>30</v>
      </c>
      <c r="H37" s="44">
        <f>$K$5</f>
        <v>46433.0</v>
      </c>
      <c r="I37" s="44">
        <f>$K$6</f>
        <v>46444.0</v>
      </c>
      <c r="J37" s="33"/>
      <c r="K37" s="33" t="s">
        <v>245</v>
      </c>
      <c r="L37" s="33"/>
      <c r="M37" s="45" t="str">
        <f>IF(L37="Compliant",1,IF(L37="Partially Compliant",0.5,IF(L37="Non-Compliant",0,"")))</f>
        <v/>
      </c>
      <c r="N37" s="33"/>
      <c r="O37" s="33"/>
      <c r="P37" s="33"/>
      <c r="Q37" s="31"/>
    </row>
    <row r="38" spans="8:8" ht="35.05">
      <c r="A38" s="30" t="s">
        <v>2515</v>
      </c>
      <c r="B38" s="43" t="s">
        <v>2516</v>
      </c>
      <c r="C38" s="30" t="s">
        <v>2517</v>
      </c>
      <c r="D38" s="30" t="s">
        <v>2518</v>
      </c>
      <c r="E38" s="30" t="s">
        <v>2519</v>
      </c>
      <c r="F38" s="30" t="s">
        <v>2520</v>
      </c>
      <c r="G38" s="33" t="s">
        <v>30</v>
      </c>
      <c r="H38" s="44">
        <f>$K$5</f>
        <v>46433.0</v>
      </c>
      <c r="I38" s="44">
        <f>$K$6</f>
        <v>46444.0</v>
      </c>
      <c r="J38" s="33"/>
      <c r="K38" s="33" t="s">
        <v>245</v>
      </c>
      <c r="L38" s="33"/>
      <c r="M38" s="45" t="str">
        <f>IF(L38="Compliant",1,IF(L38="Partially Compliant",0.5,IF(L38="Non-Compliant",0,"")))</f>
        <v/>
      </c>
      <c r="N38" s="33"/>
      <c r="O38" s="33"/>
      <c r="P38" s="33"/>
      <c r="Q38" s="31"/>
    </row>
    <row r="39" spans="8:8" ht="23.85">
      <c r="A39" s="30" t="s">
        <v>2521</v>
      </c>
      <c r="B39" s="43" t="s">
        <v>2522</v>
      </c>
      <c r="C39" s="30" t="s">
        <v>2523</v>
      </c>
      <c r="D39" s="30" t="s">
        <v>2524</v>
      </c>
      <c r="E39" s="30" t="s">
        <v>2525</v>
      </c>
      <c r="F39" s="30" t="s">
        <v>2526</v>
      </c>
      <c r="G39" s="33" t="s">
        <v>30</v>
      </c>
      <c r="H39" s="44">
        <f>$K$5</f>
        <v>46433.0</v>
      </c>
      <c r="I39" s="44">
        <f>$K$6</f>
        <v>46444.0</v>
      </c>
      <c r="J39" s="33"/>
      <c r="K39" s="33" t="s">
        <v>245</v>
      </c>
      <c r="L39" s="33"/>
      <c r="M39" s="45" t="str">
        <f>IF(L39="Compliant",1,IF(L39="Partially Compliant",0.5,IF(L39="Non-Compliant",0,"")))</f>
        <v/>
      </c>
      <c r="N39" s="33"/>
      <c r="O39" s="33"/>
      <c r="P39" s="33"/>
      <c r="Q39" s="31"/>
    </row>
    <row r="41" spans="8:8" ht="15.0">
      <c r="A41" s="27" t="s">
        <v>439</v>
      </c>
    </row>
  </sheetData>
  <autoFilter ref="A14:Q39">
    <filterColumn colId="0" showButton="1"/>
  </autoFilter>
  <mergeCells count="26">
    <mergeCell ref="A4:B4"/>
    <mergeCell ref="C4:F4"/>
    <mergeCell ref="H4:J4"/>
    <mergeCell ref="A5:B5"/>
    <mergeCell ref="C8:F8"/>
    <mergeCell ref="H6:J6"/>
    <mergeCell ref="A9:B9"/>
    <mergeCell ref="H7:J7"/>
    <mergeCell ref="C5:F5"/>
    <mergeCell ref="A7:B7"/>
    <mergeCell ref="C6:F6"/>
    <mergeCell ref="H5:J5"/>
    <mergeCell ref="A6:B6"/>
    <mergeCell ref="H9:J9"/>
    <mergeCell ref="C10:F10"/>
    <mergeCell ref="A8:B8"/>
    <mergeCell ref="H10:J10"/>
    <mergeCell ref="C11:F11"/>
    <mergeCell ref="H8:J8"/>
    <mergeCell ref="C9:F9"/>
    <mergeCell ref="A10:B10"/>
    <mergeCell ref="H12:J12"/>
    <mergeCell ref="H13:J13"/>
    <mergeCell ref="H11:J11"/>
    <mergeCell ref="C7:F7"/>
    <mergeCell ref="A11:B11"/>
  </mergeCells>
  <conditionalFormatting sqref="L15:L39">
    <cfRule type="cellIs" operator="equal" priority="3" dxfId="151">
      <formula>"Partially Compliant"</formula>
    </cfRule>
    <cfRule type="cellIs" operator="equal" priority="4" dxfId="152">
      <formula>"Non-Compliant"</formula>
    </cfRule>
    <cfRule type="cellIs" operator="equal" priority="2" dxfId="153">
      <formula>"Compliant"</formula>
    </cfRule>
  </conditionalFormatting>
  <conditionalFormatting sqref="G15:G39">
    <cfRule type="cellIs" operator="equal" priority="5" dxfId="154">
      <formula>"High"</formula>
    </cfRule>
  </conditionalFormatting>
  <dataValidations count="4">
    <dataValidation allowBlank="1" type="list" errorStyle="stop" sqref="G15:G39">
      <formula1>"High,Medium,Low"</formula1>
      <formula2>0</formula2>
    </dataValidation>
    <dataValidation allowBlank="1" type="list" errorStyle="stop" sqref="K15:K39">
      <formula1>"Not Started,In Progress,Fieldwork Done,Reported,Completed"</formula1>
      <formula2>0</formula2>
    </dataValidation>
    <dataValidation allowBlank="1" type="list" errorStyle="stop" sqref="L15:L39">
      <formula1>"Compliant,Partially Compliant,Non-Compliant,Not Applicable"</formula1>
      <formula2>0</formula2>
    </dataValidation>
    <dataValidation allowBlank="1" type="list" errorStyle="stop" sqref="C11">
      <formula1>"High,Medium,Low"</formula1>
      <formula2>0</formula2>
    </dataValidation>
  </dataValidations>
  <hyperlinks>
    <hyperlink ref="N1" r:id="rId1"/>
  </hyperlinks>
  <pageMargins left="0.75" right="0.75" top="1.0" bottom="1.0" header="0.511811023622047" footer="0.511811023622047"/>
  <pageSetup paperSize="1" fitToHeight="0" orientation="landscape"/>
</worksheet>
</file>

<file path=docProps/app.xml><?xml version="1.0" encoding="utf-8"?>
<Properties xmlns="http://schemas.openxmlformats.org/officeDocument/2006/extended-properties">
  <Application>Kingsoft Office</Application>
  <ScaleCrop>0</ScaleCrop>
  <LinksUpToDate>0</LinksUpToDate>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2026-09-16T07:14:04Z</dcterms:created>
  <dcterms:modified xsi:type="dcterms:W3CDTF">2026-09-16T08:35:45Z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8b48050ed3eb4c73b2e48129d89650a3_23</vt:lpwstr>
  </property>
</Properties>
</file>